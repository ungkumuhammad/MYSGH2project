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ME" sheetId="1" state="visible" r:id="rId1"/>
    <sheet name="1 Questionnaire" sheetId="2" state="visible" r:id="rId2"/>
    <sheet name="2 Assessment Criteria" sheetId="3" state="visible" r:id="rId3"/>
    <sheet name="3 Scorecard" sheetId="4" state="visible" r:id="rId4"/>
    <sheet name="4 Long Lead and Schedule" sheetId="5" state="visible" r:id="rId5"/>
    <sheet name="5 Contract De-risking" sheetId="6" state="visible" r:id="rId6"/>
    <sheet name="6 Reference Notes" sheetId="7" state="visible" r:id="rId7"/>
  </sheets>
  <definedNames>
    <definedName name="_xlnm._FilterDatabase" localSheetId="1" hidden="1">'1 Questionnaire'!$A$4:$K$180</definedName>
  </definedNames>
  <calcPr calcId="124519" fullCalcOnLoad="1"/>
</workbook>
</file>

<file path=xl/styles.xml><?xml version="1.0" encoding="utf-8"?>
<styleSheet xmlns="http://schemas.openxmlformats.org/spreadsheetml/2006/main">
  <numFmts count="1">
    <numFmt numFmtId="164" formatCode="0.0%"/>
  </numFmts>
  <fonts count="24">
    <font>
      <name val="Calibri"/>
      <family val="2"/>
      <color theme="1"/>
      <sz val="11"/>
      <scheme val="minor"/>
    </font>
    <font>
      <name val="Arial"/>
      <b val="1"/>
      <color rgb="001F3864"/>
      <sz val="14"/>
    </font>
    <font>
      <name val="Arial"/>
      <i val="1"/>
      <color rgb="00595959"/>
      <sz val="9"/>
    </font>
    <font>
      <name val="Arial"/>
      <color rgb="00000000"/>
      <sz val="10"/>
    </font>
    <font>
      <name val="Arial"/>
      <b val="1"/>
      <color rgb="001F3864"/>
      <sz val="10"/>
    </font>
    <font>
      <name val="Arial"/>
      <b val="1"/>
      <color rgb="00000000"/>
      <sz val="10"/>
    </font>
    <font>
      <name val="Arial"/>
      <b val="1"/>
      <color rgb="00FFFFFF"/>
      <sz val="9"/>
    </font>
    <font>
      <name val="Arial"/>
      <i val="1"/>
      <color rgb="007F7F7F"/>
      <sz val="9"/>
    </font>
    <font>
      <name val="Arial"/>
      <b val="1"/>
      <color rgb="00000000"/>
      <sz val="9"/>
    </font>
    <font>
      <name val="Arial"/>
      <color rgb="00000000"/>
      <sz val="9"/>
    </font>
    <font>
      <name val="Arial"/>
      <b val="1"/>
      <color rgb="00C00000"/>
      <sz val="9"/>
    </font>
    <font>
      <name val="Arial"/>
      <b val="1"/>
      <color rgb="00FFFFFF"/>
      <sz val="10"/>
    </font>
    <font>
      <name val="Arial"/>
      <b val="1"/>
      <color rgb="001F3864"/>
      <sz val="11"/>
    </font>
    <font>
      <name val="Arial"/>
      <b val="1"/>
      <color rgb="001F3864"/>
      <sz val="9"/>
    </font>
    <font>
      <name val="Arial"/>
      <b val="1"/>
      <color rgb="000000FF"/>
      <sz val="10"/>
    </font>
    <font>
      <name val="Arial"/>
      <b val="1"/>
      <color rgb="00C00000"/>
      <sz val="10"/>
    </font>
    <font>
      <name val="Arial"/>
      <color rgb="000000FF"/>
      <sz val="9"/>
    </font>
    <font>
      <name val="Arial"/>
      <i val="1"/>
      <color rgb="00000000"/>
      <sz val="9"/>
    </font>
    <font>
      <name val="Arial"/>
      <b val="1"/>
      <color rgb="00008000"/>
      <sz val="10"/>
    </font>
    <font>
      <name val="Arial"/>
      <color rgb="00008000"/>
      <sz val="9"/>
    </font>
    <font>
      <name val="Arial"/>
      <b val="1"/>
      <color rgb="00008000"/>
      <sz val="9"/>
    </font>
    <font>
      <name val="Arial"/>
      <b val="1"/>
      <color rgb="001F3864"/>
      <sz val="12"/>
    </font>
    <font>
      <name val="Arial"/>
      <b val="1"/>
      <color rgb="00C00000"/>
      <sz val="11"/>
    </font>
    <font>
      <name val="Arial"/>
      <b val="1"/>
      <color rgb="000000FF"/>
      <sz val="9"/>
    </font>
  </fonts>
  <fills count="14">
    <fill>
      <patternFill/>
    </fill>
    <fill>
      <patternFill patternType="gray125"/>
    </fill>
    <fill>
      <patternFill patternType="solid">
        <fgColor rgb="00808080"/>
      </patternFill>
    </fill>
    <fill>
      <patternFill patternType="solid">
        <fgColor rgb="00F2F2F2"/>
      </patternFill>
    </fill>
    <fill>
      <patternFill patternType="solid">
        <fgColor rgb="002E5C8A"/>
      </patternFill>
    </fill>
    <fill>
      <patternFill patternType="solid">
        <fgColor rgb="00FFFFFF"/>
      </patternFill>
    </fill>
    <fill>
      <patternFill patternType="solid">
        <fgColor rgb="00D9E2F3"/>
      </patternFill>
    </fill>
    <fill>
      <patternFill patternType="solid">
        <fgColor rgb="00F8CBAD"/>
      </patternFill>
    </fill>
    <fill>
      <patternFill patternType="solid">
        <fgColor rgb="00FFF2CC"/>
      </patternFill>
    </fill>
    <fill>
      <patternFill patternType="solid">
        <fgColor rgb="00FCE4D6"/>
      </patternFill>
    </fill>
    <fill>
      <patternFill patternType="solid">
        <fgColor rgb="00FDECEA"/>
      </patternFill>
    </fill>
    <fill>
      <patternFill patternType="solid">
        <fgColor rgb="00FFF9E6"/>
      </patternFill>
    </fill>
    <fill>
      <patternFill patternType="solid">
        <fgColor rgb="00EAF3EA"/>
      </patternFill>
    </fill>
    <fill>
      <patternFill patternType="solid">
        <fgColor rgb="00E2EFDA"/>
      </patternFill>
    </fill>
  </fills>
  <borders count="7">
    <border>
      <left/>
      <right/>
      <top/>
      <bottom/>
      <diagonal/>
    </border>
    <border>
      <left style="thin">
        <color rgb="00BFBFBF"/>
      </left>
      <right style="thin">
        <color rgb="00BFBFBF"/>
      </right>
      <top style="thin">
        <color rgb="00BFBFBF"/>
      </top>
      <bottom style="thin">
        <color rgb="00BFBFBF"/>
      </bottom>
    </border>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3" fillId="0" borderId="0" pivotButton="0" quotePrefix="0" xfId="0"/>
    <xf numFmtId="0" fontId="10" fillId="0" borderId="0" applyAlignment="1" pivotButton="0" quotePrefix="0" xfId="0">
      <alignment horizontal="center" vertical="center"/>
    </xf>
    <xf numFmtId="0" fontId="11"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1" applyAlignment="1" pivotButton="0" quotePrefix="0" xfId="0">
      <alignment horizontal="left" vertical="center"/>
    </xf>
    <xf numFmtId="0" fontId="0" fillId="0" borderId="1" pivotButton="0" quotePrefix="0" xfId="0"/>
    <xf numFmtId="0" fontId="13" fillId="0" borderId="1" applyAlignment="1" pivotButton="0" quotePrefix="0" xfId="0">
      <alignment horizontal="center" vertical="top"/>
    </xf>
    <xf numFmtId="0" fontId="9" fillId="0" borderId="1" applyAlignment="1" pivotButton="0" quotePrefix="0" xfId="0">
      <alignment vertical="top" wrapText="1"/>
    </xf>
    <xf numFmtId="0" fontId="8" fillId="7" borderId="1" applyAlignment="1" pivotButton="0" quotePrefix="0" xfId="0">
      <alignment horizontal="center" vertical="center" wrapText="1"/>
    </xf>
    <xf numFmtId="0" fontId="9" fillId="0" borderId="1" applyAlignment="1" pivotButton="0" quotePrefix="0" xfId="0">
      <alignment horizontal="center" vertical="center" wrapText="1"/>
    </xf>
    <xf numFmtId="0" fontId="9" fillId="5" borderId="2" applyAlignment="1" pivotButton="0" quotePrefix="0" xfId="0">
      <alignment vertical="top" wrapText="1"/>
    </xf>
    <xf numFmtId="0" fontId="9" fillId="8" borderId="1" applyAlignment="1" pivotButton="0" quotePrefix="0" xfId="0">
      <alignment vertical="top" wrapText="1"/>
    </xf>
    <xf numFmtId="0" fontId="8" fillId="9" borderId="1" applyAlignment="1" pivotButton="0" quotePrefix="0" xfId="0">
      <alignment horizontal="center" vertical="center" wrapText="1"/>
    </xf>
    <xf numFmtId="0" fontId="8"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0" borderId="1" applyAlignment="1" pivotButton="0" quotePrefix="0" xfId="0">
      <alignment vertical="top" wrapText="1"/>
    </xf>
    <xf numFmtId="9" fontId="14" fillId="8" borderId="1" applyAlignment="1" pivotButton="0" quotePrefix="0" xfId="0">
      <alignment horizontal="center" vertical="center" wrapText="1"/>
    </xf>
    <xf numFmtId="0" fontId="9" fillId="10" borderId="1" applyAlignment="1" pivotButton="0" quotePrefix="0" xfId="0">
      <alignment vertical="top" wrapText="1"/>
    </xf>
    <xf numFmtId="0" fontId="9" fillId="11" borderId="1" applyAlignment="1" pivotButton="0" quotePrefix="0" xfId="0">
      <alignment vertical="top" wrapText="1"/>
    </xf>
    <xf numFmtId="0" fontId="9" fillId="12" borderId="1" applyAlignment="1" pivotButton="0" quotePrefix="0" xfId="0">
      <alignment vertical="top" wrapText="1"/>
    </xf>
    <xf numFmtId="0" fontId="0" fillId="6" borderId="1" pivotButton="0" quotePrefix="0" xfId="0"/>
    <xf numFmtId="0" fontId="5" fillId="6" borderId="1" pivotButton="0" quotePrefix="0" xfId="0"/>
    <xf numFmtId="9" fontId="12" fillId="13" borderId="1" applyAlignment="1" pivotButton="0" quotePrefix="0" xfId="0">
      <alignment horizontal="center" vertical="center" wrapText="1"/>
    </xf>
    <xf numFmtId="0" fontId="15" fillId="6" borderId="1" pivotButton="0" quotePrefix="0" xfId="0"/>
    <xf numFmtId="0" fontId="11" fillId="5" borderId="2" applyAlignment="1" pivotButton="0" quotePrefix="0" xfId="0">
      <alignment horizontal="center" vertical="center" wrapText="1"/>
    </xf>
    <xf numFmtId="0" fontId="15" fillId="10" borderId="1" applyAlignment="1" pivotButton="0" quotePrefix="0" xfId="0">
      <alignment horizontal="center" vertical="center" wrapText="1"/>
    </xf>
    <xf numFmtId="0" fontId="8" fillId="10" borderId="1" applyAlignment="1" pivotButton="0" quotePrefix="0" xfId="0">
      <alignment vertical="top" wrapText="1"/>
    </xf>
    <xf numFmtId="0" fontId="9" fillId="10" borderId="1" applyAlignment="1" pivotButton="0" quotePrefix="0" xfId="0">
      <alignment horizontal="center" vertical="center" wrapText="1"/>
    </xf>
    <xf numFmtId="0" fontId="16" fillId="8" borderId="0" pivotButton="0" quotePrefix="0" xfId="0"/>
    <xf numFmtId="0" fontId="17" fillId="0" borderId="0" applyAlignment="1" pivotButton="0" quotePrefix="0" xfId="0">
      <alignment vertical="top" wrapText="1"/>
    </xf>
    <xf numFmtId="0" fontId="14" fillId="8" borderId="1" applyAlignment="1" pivotButton="0" quotePrefix="0" xfId="0">
      <alignment horizontal="center" vertical="center"/>
    </xf>
    <xf numFmtId="0" fontId="18" fillId="0" borderId="1" applyAlignment="1" pivotButton="0" quotePrefix="0" xfId="0">
      <alignment horizontal="center" vertical="center" wrapText="1"/>
    </xf>
    <xf numFmtId="0" fontId="19" fillId="0" borderId="1" applyAlignment="1" pivotButton="0" quotePrefix="0" xfId="0">
      <alignment vertical="top" wrapText="1"/>
    </xf>
    <xf numFmtId="9" fontId="20" fillId="0" borderId="1" applyAlignment="1" pivotButton="0" quotePrefix="0" xfId="0">
      <alignment horizontal="center" vertical="center" wrapText="1"/>
    </xf>
    <xf numFmtId="0" fontId="14" fillId="8" borderId="1" applyAlignment="1" pivotButton="0" quotePrefix="0" xfId="0">
      <alignment horizontal="center" vertical="center" wrapText="1"/>
    </xf>
    <xf numFmtId="2" fontId="5" fillId="13" borderId="1" applyAlignment="1" pivotButton="0" quotePrefix="0" xfId="0">
      <alignment horizontal="center" vertical="center" wrapText="1"/>
    </xf>
    <xf numFmtId="9" fontId="5" fillId="6" borderId="1" applyAlignment="1" pivotButton="0" quotePrefix="0" xfId="0">
      <alignment horizontal="center" vertical="center" wrapText="1"/>
    </xf>
    <xf numFmtId="2" fontId="21" fillId="13" borderId="1" applyAlignment="1" pivotButton="0" quotePrefix="0" xfId="0">
      <alignment horizontal="center" vertical="center" wrapText="1"/>
    </xf>
    <xf numFmtId="0" fontId="5" fillId="0" borderId="1" pivotButton="0" quotePrefix="0" xfId="0"/>
    <xf numFmtId="164" fontId="5" fillId="13" borderId="1" applyAlignment="1" pivotButton="0" quotePrefix="0" xfId="0">
      <alignment horizontal="center" vertical="center" wrapText="1"/>
    </xf>
    <xf numFmtId="0" fontId="8" fillId="0" borderId="1" pivotButton="0" quotePrefix="0" xfId="0"/>
    <xf numFmtId="0" fontId="22" fillId="10" borderId="1" applyAlignment="1" pivotButton="0" quotePrefix="0" xfId="0">
      <alignment horizontal="left" vertical="center"/>
    </xf>
    <xf numFmtId="0" fontId="23" fillId="8" borderId="1" applyAlignment="1" pivotButton="0" quotePrefix="0" xfId="0">
      <alignment horizontal="center" vertical="center" wrapText="1"/>
    </xf>
    <xf numFmtId="0" fontId="22" fillId="13" borderId="1" applyAlignment="1" pivotButton="0" quotePrefix="0" xfId="0">
      <alignment horizontal="center" vertical="center" wrapText="1"/>
    </xf>
    <xf numFmtId="0" fontId="12" fillId="0" borderId="0" pivotButton="0" quotePrefix="0" xfId="0"/>
    <xf numFmtId="0" fontId="4" fillId="13" borderId="1" applyAlignment="1" pivotButton="0" quotePrefix="0" xfId="0">
      <alignment horizontal="center" vertical="center" wrapText="1"/>
    </xf>
    <xf numFmtId="0" fontId="15" fillId="13" borderId="1" applyAlignment="1" pivotButton="0" quotePrefix="0" xfId="0">
      <alignment horizontal="center" vertical="center" wrapText="1"/>
    </xf>
    <xf numFmtId="0" fontId="16" fillId="8" borderId="1" applyAlignment="1" pivotButton="0" quotePrefix="0" xfId="0">
      <alignment horizontal="center" vertical="center" wrapText="1"/>
    </xf>
    <xf numFmtId="1" fontId="8" fillId="13" borderId="1" applyAlignment="1" pivotButton="0" quotePrefix="0" xfId="0">
      <alignment horizontal="center" vertical="center" wrapText="1"/>
    </xf>
    <xf numFmtId="0" fontId="12" fillId="13" borderId="1" applyAlignment="1" pivotButton="0" quotePrefix="0" xfId="0">
      <alignment horizontal="center" vertical="center" wrapText="1"/>
    </xf>
    <xf numFmtId="0" fontId="13" fillId="0" borderId="1" applyAlignment="1" pivotButton="0" quotePrefix="0" xfId="0">
      <alignment horizontal="center" vertical="center" wrapText="1"/>
    </xf>
    <xf numFmtId="0" fontId="9" fillId="3" borderId="1" applyAlignment="1" pivotButton="0" quotePrefix="0" xfId="0">
      <alignment vertical="top" wrapText="1"/>
    </xf>
    <xf numFmtId="0" fontId="13" fillId="0" borderId="1" applyAlignment="1" pivotButton="0" quotePrefix="0" xfId="0">
      <alignment vertical="top" wrapText="1"/>
    </xf>
    <xf numFmtId="0" fontId="8" fillId="13" borderId="1" applyAlignment="1" pivotButton="0" quotePrefix="0" xfId="0">
      <alignment horizontal="center" vertical="center" wrapText="1"/>
    </xf>
    <xf numFmtId="0" fontId="8" fillId="8" borderId="1" applyAlignment="1" pivotButton="0" quotePrefix="0" xfId="0">
      <alignment horizontal="center" vertical="center"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45"/>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s>
  <sheetData>
    <row r="1" ht="20" customHeight="1">
      <c r="A1" s="1" t="inlineStr">
        <is>
          <t>OEM Assessment Pack — Ammonia-Fuelled 4-Stroke Gas Engine</t>
        </is>
      </c>
    </row>
    <row r="2" ht="26" customHeight="1">
      <c r="A2" s="2" t="inlineStr">
        <is>
          <t>MYSGH2 project · Singapore offtake / power-generation side · prepared for OEM technology meetings. Companion to power_generation/NH3_gas_turbine_vs_gas_engine_comprehensive_comparison.md and ../memory.md.</t>
        </is>
      </c>
    </row>
    <row r="4">
      <c r="A4" s="3" t="inlineStr"/>
      <c r="B4" s="4" t="inlineStr"/>
    </row>
    <row r="5">
      <c r="A5" s="5" t="inlineStr">
        <is>
          <t>PURPOSE</t>
        </is>
      </c>
      <c r="B5" s="4" t="inlineStr"/>
    </row>
    <row r="6" ht="42" customHeight="1">
      <c r="A6" s="3" t="inlineStr"/>
      <c r="B6" s="4" t="inlineStr">
        <is>
          <t>A structured pack for face-to-face technical and commercial meetings with reciprocating-engine OEMs offering ammonia-fuelled 4-stroke engines. It is built to answer one question: is this technology de-risked enough to buy, and on what contractual terms.</t>
        </is>
      </c>
    </row>
    <row r="7" ht="42" customHeight="1">
      <c r="A7" s="3" t="inlineStr"/>
      <c r="B7" s="4" t="inlineStr">
        <is>
          <t>Assessment focus, per the brief: (1) efficiency, (2) technical maturity — combustor, fuel supply, emission control, (3) fuel-transition behaviour and loss of firing, (4) performance / contractual de-risking, (5) long-lead items and the purchase-to-commissioning timeline, (6) preferred EPC and execution model.</t>
        </is>
      </c>
    </row>
    <row r="8">
      <c r="A8" s="3" t="inlineStr"/>
      <c r="B8" s="4" t="inlineStr"/>
    </row>
    <row r="9">
      <c r="A9" s="5" t="inlineStr">
        <is>
          <t>SHEET INDEX</t>
        </is>
      </c>
      <c r="B9" s="4" t="inlineStr"/>
    </row>
    <row r="10">
      <c r="A10" s="5" t="inlineStr">
        <is>
          <t>0 README</t>
        </is>
      </c>
      <c r="B10" s="4" t="inlineStr">
        <is>
          <t>This sheet — purpose, how to use, legend, worked example.</t>
        </is>
      </c>
    </row>
    <row r="11" ht="42" customHeight="1">
      <c r="A11" s="5" t="inlineStr">
        <is>
          <t>1 Questionnaire</t>
        </is>
      </c>
      <c r="B11" s="4" t="inlineStr">
        <is>
          <t>149 questions in 14 sections (A-N). Issue to the OEM in advance, then work through it in the meeting. Columns H-J are for capture during/after the meeting.</t>
        </is>
      </c>
    </row>
    <row r="12" ht="28" customHeight="1">
      <c r="A12" s="5" t="inlineStr">
        <is>
          <t>2 Assessment Criteria</t>
        </is>
      </c>
      <c r="B12" s="4" t="inlineStr">
        <is>
          <t>10 weighted criteria with a 1-5 rubric (anchors defined at 1, 3 and 5) plus knock-out gates. Weights are a proposed starting point — edit them.</t>
        </is>
      </c>
    </row>
    <row r="13" ht="42" customHeight="1">
      <c r="A13" s="5" t="inlineStr">
        <is>
          <t>3 Scorecard</t>
        </is>
      </c>
      <c r="B13" s="4" t="inlineStr">
        <is>
          <t>Live scoring for up to three OEMs. Weights and criterion names are pulled by formula from sheet 2; you enter only the raw 1-5 scores and the knock-out verdicts.</t>
        </is>
      </c>
    </row>
    <row r="14" ht="28" customHeight="1">
      <c r="A14" s="5" t="inlineStr">
        <is>
          <t>4 Long Lead and Schedule</t>
        </is>
      </c>
      <c r="B14" s="4" t="inlineStr">
        <is>
          <t>Long-lead item register plus the purchase-order-to-commercial-operation milestone template (populate from questions K-01 to K-10).</t>
        </is>
      </c>
    </row>
    <row r="15" ht="28" customHeight="1">
      <c r="A15" s="5" t="inlineStr">
        <is>
          <t>5 Contract De-risking</t>
        </is>
      </c>
      <c r="B15" s="4" t="inlineStr">
        <is>
          <t>Contract and guarantee checklist: our target position vs. the OEM's position, gap and de-risk action (populate from section M).</t>
        </is>
      </c>
    </row>
    <row r="16" ht="42" customHeight="1">
      <c r="A16" s="5" t="inlineStr">
        <is>
          <t>6 Reference Notes</t>
        </is>
      </c>
      <c r="B16" s="4" t="inlineStr">
        <is>
          <t>Sourced technical anchors carried over from ../memory.md, so you can challenge an OEM answer in the room. Every line is tagged Sourced / Derived / Assumption / Not published.</t>
        </is>
      </c>
    </row>
    <row r="17">
      <c r="A17" s="3" t="inlineStr"/>
      <c r="B17" s="4" t="inlineStr"/>
    </row>
    <row r="18">
      <c r="A18" s="5" t="inlineStr">
        <is>
          <t>HOW TO USE</t>
        </is>
      </c>
      <c r="B18" s="4" t="inlineStr"/>
    </row>
    <row r="19" ht="42" customHeight="1">
      <c r="A19" s="5" t="inlineStr">
        <is>
          <t>Step 1</t>
        </is>
      </c>
      <c r="B19" s="4" t="inlineStr">
        <is>
          <t>Send sheet 1 to the OEM at least two weeks before the meeting, with the 'Evidence to request' column visible. Ask for written answers to every question marked Critical.</t>
        </is>
      </c>
    </row>
    <row r="20" ht="42" customHeight="1">
      <c r="A20" s="5" t="inlineStr">
        <is>
          <t>Step 2</t>
        </is>
      </c>
      <c r="B20" s="4" t="inlineStr">
        <is>
          <t>In the meeting, capture answers in column H, the evidence actually received in column I, and any gap or follow-up in column J. Set column K to Answered / Partial / Refused / Not asked.</t>
        </is>
      </c>
    </row>
    <row r="21" ht="42" customHeight="1">
      <c r="A21" s="5" t="inlineStr">
        <is>
          <t>Step 3</t>
        </is>
      </c>
      <c r="B21" s="4" t="inlineStr">
        <is>
          <t>Review sheet 2 and adjust the weights to reflect this project's priorities before anyone scores anything. Record who set the weights and when (cells at the bottom of sheet 2).</t>
        </is>
      </c>
    </row>
    <row r="22" ht="28" customHeight="1">
      <c r="A22" s="5" t="inlineStr">
        <is>
          <t>Step 4</t>
        </is>
      </c>
      <c r="B22" s="4" t="inlineStr">
        <is>
          <t>Apply the knock-out gates on sheet 3 FIRST. A failed knock-out is not a low score — it removes the OEM from the comparison.</t>
        </is>
      </c>
    </row>
    <row r="23" ht="42" customHeight="1">
      <c r="A23" s="5" t="inlineStr">
        <is>
          <t>Step 5</t>
        </is>
      </c>
      <c r="B23" s="4" t="inlineStr">
        <is>
          <t>Score each surviving OEM 1-5 against the rubric on sheet 2, one criterion at a time, using the question responses as evidence. The weighted total on sheet 3 lands on the same 1-5 scale.</t>
        </is>
      </c>
    </row>
    <row r="24" ht="42" customHeight="1">
      <c r="A24" s="5" t="inlineStr">
        <is>
          <t>Step 6</t>
        </is>
      </c>
      <c r="B24" s="4" t="inlineStr">
        <is>
          <t>Run the sensitivity check on sheet 3: move the largest weight by 10 percentage points and see whether the ranking flips. If it does, the decision is fragile — say so in the recommendation.</t>
        </is>
      </c>
    </row>
    <row r="25">
      <c r="A25" s="3" t="inlineStr"/>
      <c r="B25" s="4" t="inlineStr"/>
    </row>
    <row r="26">
      <c r="A26" s="5" t="inlineStr">
        <is>
          <t>LEGEND — WHICH CELLS TO EDIT</t>
        </is>
      </c>
      <c r="B26" s="4" t="inlineStr"/>
    </row>
    <row r="27" ht="28" customHeight="1">
      <c r="A27" s="5" t="inlineStr">
        <is>
          <t>Yellow fill</t>
        </is>
      </c>
      <c r="B27" s="4" t="inlineStr">
        <is>
          <t>Input cell — you or the OEM fills this in. These are the only cells you should type into.</t>
        </is>
      </c>
    </row>
    <row r="28">
      <c r="A28" s="5" t="inlineStr">
        <is>
          <t>White / grey fill</t>
        </is>
      </c>
      <c r="B28" s="4" t="inlineStr">
        <is>
          <t>Fixed content — question text, rubric anchors, headers. Do not overwrite.</t>
        </is>
      </c>
    </row>
    <row r="29" ht="28" customHeight="1">
      <c r="A29" s="5" t="inlineStr">
        <is>
          <t>Green fill</t>
        </is>
      </c>
      <c r="B29" s="4" t="inlineStr">
        <is>
          <t>Formula cell — calculated automatically (weighted scores, totals, cumulative schedule weeks). Do not overwrite.</t>
        </is>
      </c>
    </row>
    <row r="30">
      <c r="A30" s="5" t="inlineStr">
        <is>
          <t>Blue text</t>
        </is>
      </c>
      <c r="B30" s="4" t="inlineStr">
        <is>
          <t>A value carried in from another sheet by formula.</t>
        </is>
      </c>
    </row>
    <row r="31">
      <c r="A31" s="3" t="inlineStr"/>
      <c r="B31" s="4" t="inlineStr"/>
    </row>
    <row r="32">
      <c r="A32" s="5" t="inlineStr">
        <is>
          <t>NO-FABRICATION RULE (repo CLAUDE.md section 7)</t>
        </is>
      </c>
      <c r="B32" s="4" t="inlineStr"/>
    </row>
    <row r="33" ht="42" customHeight="1">
      <c r="A33" s="3" t="inlineStr"/>
      <c r="B33" s="4" t="inlineStr">
        <is>
          <t>This workbook deliberately contains NO invented OEM performance figures, lead times, prices or efficiencies. Every quantitative cell that would hold OEM data is left blank for the OEM to fill. The only numbers pre-entered anywhere are (a) the proposed criterion weights on sheet 2, which are a judgement call and labelled as such, and (b) the published reference anchors on sheet 6, each carrying its source and a Sourced / Derived / Assumption tag.</t>
        </is>
      </c>
    </row>
    <row r="34">
      <c r="A34" s="3" t="inlineStr"/>
      <c r="B34" s="4" t="inlineStr"/>
    </row>
    <row r="35">
      <c r="A35" s="5" t="inlineStr">
        <is>
          <t>WORKED EXAMPLE — expected format (illustrative only, NOT OEM data)</t>
        </is>
      </c>
      <c r="B35" s="4" t="inlineStr"/>
    </row>
    <row r="36">
      <c r="A36" s="6" t="inlineStr">
        <is>
          <t>Questionnaire row (sheet 1)</t>
        </is>
      </c>
    </row>
    <row r="37">
      <c r="A37" s="7" t="inlineStr">
        <is>
          <t>ID</t>
        </is>
      </c>
      <c r="B37" s="7" t="inlineStr">
        <is>
          <t>OEM response (col H)</t>
        </is>
      </c>
      <c r="C37" s="7" t="inlineStr">
        <is>
          <t>Evidence received (col I)</t>
        </is>
      </c>
      <c r="D37" s="7" t="inlineStr">
        <is>
          <t>Gap / follow-up (col J)</t>
        </is>
      </c>
      <c r="E37" s="7" t="inlineStr">
        <is>
          <t>Status (col K)</t>
        </is>
      </c>
    </row>
    <row r="38" ht="46" customHeight="1">
      <c r="A38" s="8" t="inlineStr">
        <is>
          <t>C-09</t>
        </is>
      </c>
      <c r="B38" s="8" t="inlineStr">
        <is>
          <t>Per-cylinder pressure sensing; misfire detected within 3 cycles; single-cyl misfire = auto pilot-fuel reversion on that cylinder, no trip. [ILLUSTRATIVE FORMAT ONLY]</t>
        </is>
      </c>
      <c r="C38" s="8" t="inlineStr">
        <is>
          <t>Trip matrix rev B received; testbed traces NOT provided</t>
        </is>
      </c>
      <c r="D38" s="8" t="inlineStr">
        <is>
          <t>Chase testbed traces + observed misfire rate; re-ask C-06</t>
        </is>
      </c>
      <c r="E38" s="8" t="inlineStr">
        <is>
          <t>Partial</t>
        </is>
      </c>
    </row>
    <row r="40">
      <c r="A40" s="6" t="inlineStr">
        <is>
          <t>Scorecard row (sheet 3)</t>
        </is>
      </c>
    </row>
    <row r="41">
      <c r="A41" s="7" t="inlineStr">
        <is>
          <t>Criterion</t>
        </is>
      </c>
      <c r="B41" s="7" t="inlineStr">
        <is>
          <t>Weight</t>
        </is>
      </c>
      <c r="C41" s="7" t="inlineStr">
        <is>
          <t>Raw score 1-5</t>
        </is>
      </c>
      <c r="D41" s="7" t="inlineStr">
        <is>
          <t>Weighted</t>
        </is>
      </c>
      <c r="E41" s="7" t="inlineStr">
        <is>
          <t>Note</t>
        </is>
      </c>
    </row>
    <row r="42">
      <c r="A42" s="8" t="inlineStr">
        <is>
          <t>C1 Ammonia combustion system maturity</t>
        </is>
      </c>
      <c r="B42" s="8" t="inlineStr">
        <is>
          <t>16%</t>
        </is>
      </c>
      <c r="C42" s="8" t="inlineStr">
        <is>
          <t>3</t>
        </is>
      </c>
      <c r="D42" s="8" t="inlineStr">
        <is>
          <t>0.48</t>
        </is>
      </c>
      <c r="E42" s="8" t="inlineStr">
        <is>
          <t>Multi-cylinder testbed hours only; no field unit. [ILLUSTRATIVE FORMAT ONLY]</t>
        </is>
      </c>
    </row>
    <row r="44">
      <c r="A44" s="9" t="inlineStr">
        <is>
          <t>Prepared:</t>
        </is>
      </c>
      <c r="B44" s="10" t="inlineStr">
        <is>
          <t>2026-08-19 · MYSGH2 project · revision 1</t>
        </is>
      </c>
    </row>
    <row r="45">
      <c r="A45" s="11" t="inlineStr">
        <is>
          <t>Delete the two grey example blocks above before issuing the pack.</t>
        </is>
      </c>
    </row>
  </sheetData>
  <mergeCells count="33">
    <mergeCell ref="B4:F4"/>
    <mergeCell ref="B7:F7"/>
    <mergeCell ref="B16:F16"/>
    <mergeCell ref="B25:F25"/>
    <mergeCell ref="B31:F31"/>
    <mergeCell ref="B22:F22"/>
    <mergeCell ref="B18:F18"/>
    <mergeCell ref="B27:F27"/>
    <mergeCell ref="B21:F21"/>
    <mergeCell ref="A2:F2"/>
    <mergeCell ref="B12:F12"/>
    <mergeCell ref="B11:F11"/>
    <mergeCell ref="B23:F23"/>
    <mergeCell ref="B14:F14"/>
    <mergeCell ref="B8:F8"/>
    <mergeCell ref="B17:F17"/>
    <mergeCell ref="B13:F13"/>
    <mergeCell ref="B29:F29"/>
    <mergeCell ref="B34:F34"/>
    <mergeCell ref="B10:F10"/>
    <mergeCell ref="B28:F28"/>
    <mergeCell ref="B19:F19"/>
    <mergeCell ref="B9:F9"/>
    <mergeCell ref="B30:F30"/>
    <mergeCell ref="B6:F6"/>
    <mergeCell ref="B24:F24"/>
    <mergeCell ref="B20:F20"/>
    <mergeCell ref="B15:F15"/>
    <mergeCell ref="B33:F33"/>
    <mergeCell ref="B5:F5"/>
    <mergeCell ref="B32:F32"/>
    <mergeCell ref="B26:F26"/>
    <mergeCell ref="B35:F35"/>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K1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62" customWidth="1" min="2" max="2"/>
    <col width="52" customWidth="1" min="3" max="3"/>
    <col width="34" customWidth="1" min="4" max="4"/>
    <col width="10" customWidth="1" min="5" max="5"/>
    <col width="11" customWidth="1" min="6" max="6"/>
    <col width="1.5" customWidth="1" min="7" max="7"/>
    <col width="46" customWidth="1" min="8" max="8"/>
    <col width="30" customWidth="1" min="9" max="9"/>
    <col width="34" customWidth="1" min="10" max="10"/>
    <col width="12" customWidth="1" min="11" max="11"/>
  </cols>
  <sheetData>
    <row r="1" ht="20" customHeight="1">
      <c r="A1" s="1" t="inlineStr">
        <is>
          <t>Sheet 1 — OEM Questionnaire: Ammonia 4-Stroke Gas Engine</t>
        </is>
      </c>
    </row>
    <row r="2" ht="26" customHeight="1">
      <c r="A2" s="2" t="inlineStr">
        <is>
          <t>Sections A-N. Columns A-G are the question set (issue to the OEM in advance). Columns H-K (yellow) are capture columns — fill during and after the meeting. 'Criterion' links each question to the weighted criterion it feeds on sheet 2.</t>
        </is>
      </c>
    </row>
    <row r="3">
      <c r="C3" s="9" t="inlineStr">
        <is>
          <t>Questions:</t>
        </is>
      </c>
      <c r="D3" s="12">
        <f>COUNTIF(A5:A180,"?-??")</f>
        <v/>
      </c>
      <c r="E3" s="9" t="inlineStr">
        <is>
          <t>Critical:</t>
        </is>
      </c>
      <c r="F3" s="12">
        <f>COUNTIF(E5:E180,"Critical")</f>
        <v/>
      </c>
      <c r="H3" s="9" t="inlineStr">
        <is>
          <t>Answered:</t>
        </is>
      </c>
      <c r="I3" s="12">
        <f>COUNTIF(K5:K180,"Answered")</f>
        <v/>
      </c>
      <c r="J3" s="9" t="inlineStr">
        <is>
          <t>Unanswered Critical:</t>
        </is>
      </c>
      <c r="K3" s="13">
        <f>COUNTIFS(E5:E180,"Critical",K5:K180,"&lt;&gt;Answered")</f>
        <v/>
      </c>
    </row>
    <row r="4" ht="46" customHeight="1">
      <c r="A4" s="14" t="inlineStr">
        <is>
          <t>ID</t>
        </is>
      </c>
      <c r="B4" s="14" t="inlineStr">
        <is>
          <t>Question</t>
        </is>
      </c>
      <c r="C4" s="14" t="inlineStr">
        <is>
          <t>Why it matters / what a good answer looks like</t>
        </is>
      </c>
      <c r="D4" s="14" t="inlineStr">
        <is>
          <t>Evidence to request</t>
        </is>
      </c>
      <c r="E4" s="14" t="inlineStr">
        <is>
          <t>Priority</t>
        </is>
      </c>
      <c r="F4" s="14" t="inlineStr">
        <is>
          <t>Feeds criterion</t>
        </is>
      </c>
      <c r="G4" s="15" t="n"/>
      <c r="H4" s="14" t="inlineStr">
        <is>
          <t>OEM response</t>
        </is>
      </c>
      <c r="I4" s="14" t="inlineStr">
        <is>
          <t>Evidence received</t>
        </is>
      </c>
      <c r="J4" s="14" t="inlineStr">
        <is>
          <t>Gap / follow-up action</t>
        </is>
      </c>
      <c r="K4" s="14" t="inlineStr">
        <is>
          <t>Status</t>
        </is>
      </c>
    </row>
    <row r="5" ht="22" customHeight="1">
      <c r="A5" s="16" t="inlineStr">
        <is>
          <t>A — Company, product identity &amp; reference fleet</t>
        </is>
      </c>
      <c r="B5" s="17" t="n"/>
      <c r="C5" s="17" t="n"/>
      <c r="D5" s="17" t="n"/>
      <c r="E5" s="17" t="n"/>
      <c r="F5" s="17" t="n"/>
      <c r="G5" s="17" t="n"/>
      <c r="H5" s="17" t="n"/>
      <c r="I5" s="17" t="n"/>
      <c r="J5" s="17" t="n"/>
      <c r="K5" s="17" t="n"/>
    </row>
    <row r="6" ht="46" customHeight="1">
      <c r="A6" s="18" t="inlineStr">
        <is>
          <t>A-01</t>
        </is>
      </c>
      <c r="B6" s="19" t="inlineStr">
        <is>
          <t>Confirm the legal entity that will contract and guarantee performance, the manufacturing site(s) for the ammonia variant, and whether a parent company stands behind the guarantee.</t>
        </is>
      </c>
      <c r="C6" s="19" t="inlineStr">
        <is>
          <t>Ammonia engines are often sold by a group entity while the guarantee sits elsewhere. Good = one named entity with a parent company guarantee.</t>
        </is>
      </c>
      <c r="D6" s="19" t="inlineStr">
        <is>
          <t>Corporate structure chart; draft PCG wording</t>
        </is>
      </c>
      <c r="E6" s="20" t="inlineStr">
        <is>
          <t>Critical</t>
        </is>
      </c>
      <c r="F6" s="21" t="inlineStr">
        <is>
          <t>C7</t>
        </is>
      </c>
      <c r="G6" s="22" t="n"/>
      <c r="H6" s="23" t="n"/>
      <c r="I6" s="23" t="n"/>
      <c r="J6" s="23" t="n"/>
      <c r="K6" s="23" t="n"/>
    </row>
    <row r="7" ht="46" customHeight="1">
      <c r="A7" s="18" t="inlineStr">
        <is>
          <t>A-02</t>
        </is>
      </c>
      <c r="B7" s="19" t="inlineStr">
        <is>
          <t>State the exact engine type designation offered for ammonia 4-stroke operation: bore x stroke, rated speed (rpm), cylinder configuration and number of cylinders offered, MW per unit.</t>
        </is>
      </c>
      <c r="C7" s="19" t="inlineStr">
        <is>
          <t>Fixes the technical baseline. Good = a designated ammonia model, not 'the NG engine, ammonia-ready'.</t>
        </is>
      </c>
      <c r="D7" s="19" t="inlineStr">
        <is>
          <t>Technical data sheet for the ammonia variant</t>
        </is>
      </c>
      <c r="E7" s="20" t="inlineStr">
        <is>
          <t>Critical</t>
        </is>
      </c>
      <c r="F7" s="21" t="inlineStr">
        <is>
          <t>C2</t>
        </is>
      </c>
      <c r="G7" s="22" t="n"/>
      <c r="H7" s="23" t="n"/>
      <c r="I7" s="23" t="n"/>
      <c r="J7" s="23" t="n"/>
      <c r="K7" s="23" t="n"/>
    </row>
    <row r="8" ht="46" customHeight="1">
      <c r="A8" s="18" t="inlineStr">
        <is>
          <t>A-03</t>
        </is>
      </c>
      <c r="B8" s="19" t="inlineStr">
        <is>
          <t>Is the ammonia variant a new-build platform or a derivative/conversion of an existing NG or diesel platform? Name the parent platform and its accumulated field hours and installed base.</t>
        </is>
      </c>
      <c r="C8" s="19" t="inlineStr">
        <is>
          <t>Inherited platform maturity is real risk reduction — but only for the non-combustion parts.</t>
        </is>
      </c>
      <c r="D8" s="19" t="inlineStr">
        <is>
          <t>Parent platform installed base and fleet hours</t>
        </is>
      </c>
      <c r="E8" s="20" t="inlineStr">
        <is>
          <t>Critical</t>
        </is>
      </c>
      <c r="F8" s="21" t="inlineStr">
        <is>
          <t>C2</t>
        </is>
      </c>
      <c r="G8" s="22" t="n"/>
      <c r="H8" s="23" t="n"/>
      <c r="I8" s="23" t="n"/>
      <c r="J8" s="23" t="n"/>
      <c r="K8" s="23" t="n"/>
    </row>
    <row r="9" ht="46" customHeight="1">
      <c r="A9" s="18" t="inlineStr">
        <is>
          <t>A-04</t>
        </is>
      </c>
      <c r="B9" s="19" t="inlineStr">
        <is>
          <t>List every ammonia-fuelled engine built to date: unit/site, MW, cylinder count, commissioning date, cumulative hours on ammonia, maximum ammonia energy share achieved in service, duty (marine propulsion / marine auxiliary / stationary power).</t>
        </is>
      </c>
      <c r="C9" s="19" t="inlineStr">
        <is>
          <t>This is the single most decision-relevant maturity datum. Good = multi-thousand hours on multi-cylinder hardware at the offered ammonia share.</t>
        </is>
      </c>
      <c r="D9" s="19" t="inlineStr">
        <is>
          <t>Fleet list with hours; customer references</t>
        </is>
      </c>
      <c r="E9" s="20" t="inlineStr">
        <is>
          <t>Critical</t>
        </is>
      </c>
      <c r="F9" s="21" t="inlineStr">
        <is>
          <t>C2</t>
        </is>
      </c>
      <c r="G9" s="22" t="n"/>
      <c r="H9" s="23" t="n"/>
      <c r="I9" s="23" t="n"/>
      <c r="J9" s="23" t="n"/>
      <c r="K9" s="23" t="n"/>
    </row>
    <row r="10" ht="30" customHeight="1">
      <c r="A10" s="18" t="inlineStr">
        <is>
          <t>A-05</t>
        </is>
      </c>
      <c r="B10" s="19" t="inlineStr">
        <is>
          <t>Split accumulated ammonia hours across (a) single-cylinder research engine, (b) full multi-cylinder engine on the testbed, (c) in-field operation.</t>
        </is>
      </c>
      <c r="C10" s="19" t="inlineStr">
        <is>
          <t>Single-cylinder hours do not de-risk cylinder-to-cylinder balancing, turbocharger matching or transient behaviour.</t>
        </is>
      </c>
      <c r="D10" s="19" t="inlineStr">
        <is>
          <t>Test programme summary with hour counts</t>
        </is>
      </c>
      <c r="E10" s="20" t="inlineStr">
        <is>
          <t>Critical</t>
        </is>
      </c>
      <c r="F10" s="21" t="inlineStr">
        <is>
          <t>C2</t>
        </is>
      </c>
      <c r="G10" s="22" t="n"/>
      <c r="H10" s="23" t="n"/>
      <c r="I10" s="23" t="n"/>
      <c r="J10" s="23" t="n"/>
      <c r="K10" s="23" t="n"/>
    </row>
    <row r="11" ht="46" customHeight="1">
      <c r="A11" s="18" t="inlineStr">
        <is>
          <t>A-06</t>
        </is>
      </c>
      <c r="B11" s="19" t="inlineStr">
        <is>
          <t>Which of those units are stationary power generation rather than marine? What specifically must change to convert the marine product into a stationary genset (rating, speed, generator, controls, emissions kit, approvals)?</t>
        </is>
      </c>
      <c r="C11" s="19" t="inlineStr">
        <is>
          <t>Ammonia 4-stroke development is marine-led. The marine-to-stationary delta is where FOAK risk hides.</t>
        </is>
      </c>
      <c r="D11" s="19" t="inlineStr">
        <is>
          <t>Marine-to-stationary scope delta statement</t>
        </is>
      </c>
      <c r="E11" s="20" t="inlineStr">
        <is>
          <t>Critical</t>
        </is>
      </c>
      <c r="F11" s="21" t="inlineStr">
        <is>
          <t>C2</t>
        </is>
      </c>
      <c r="G11" s="22" t="n"/>
      <c r="H11" s="23" t="n"/>
      <c r="I11" s="23" t="n"/>
      <c r="J11" s="23" t="n"/>
      <c r="K11" s="23" t="n"/>
    </row>
    <row r="12" ht="46" customHeight="1">
      <c r="A12" s="18" t="inlineStr">
        <is>
          <t>A-07</t>
        </is>
      </c>
      <c r="B12" s="19" t="inlineStr">
        <is>
          <t>What is the earliest date you can contract a stationary ammonia genset with full commercial performance guarantees (not a demonstration or joint-development unit)? State the internal commercial-release milestone and its gate criteria.</t>
        </is>
      </c>
      <c r="C12" s="19" t="inlineStr">
        <is>
          <t>Separates a product you can buy from a programme you would be funding.</t>
        </is>
      </c>
      <c r="D12" s="19" t="inlineStr">
        <is>
          <t>Product release gate plan with dates</t>
        </is>
      </c>
      <c r="E12" s="20" t="inlineStr">
        <is>
          <t>Critical</t>
        </is>
      </c>
      <c r="F12" s="21" t="inlineStr">
        <is>
          <t>C2</t>
        </is>
      </c>
      <c r="G12" s="22" t="n"/>
      <c r="H12" s="23" t="n"/>
      <c r="I12" s="23" t="n"/>
      <c r="J12" s="23" t="n"/>
      <c r="K12" s="23" t="n"/>
    </row>
    <row r="13" ht="46" customHeight="1">
      <c r="A13" s="18" t="inlineStr">
        <is>
          <t>A-08</t>
        </is>
      </c>
      <c r="B13" s="19" t="inlineStr">
        <is>
          <t>Classify the offered configuration: joint development project / pilot, first-of-a-kind commercial unit, or series product. Use your own internal definition and state it.</t>
        </is>
      </c>
      <c r="C13" s="19" t="inlineStr">
        <is>
          <t>Determines the whole contracting and de-risking posture.</t>
        </is>
      </c>
      <c r="D13" s="19" t="inlineStr">
        <is>
          <t>Written classification statement</t>
        </is>
      </c>
      <c r="E13" s="20" t="inlineStr">
        <is>
          <t>Critical</t>
        </is>
      </c>
      <c r="F13" s="21" t="inlineStr">
        <is>
          <t>C7</t>
        </is>
      </c>
      <c r="G13" s="22" t="n"/>
      <c r="H13" s="23" t="n"/>
      <c r="I13" s="23" t="n"/>
      <c r="J13" s="23" t="n"/>
      <c r="K13" s="23" t="n"/>
    </row>
    <row r="14" ht="30" customHeight="1">
      <c r="A14" s="18" t="inlineStr">
        <is>
          <t>A-09</t>
        </is>
      </c>
      <c r="B14" s="19" t="inlineStr">
        <is>
          <t>Which reference customers may we contact, and can we visit (a) your ammonia testbed and (b) an operating ammonia unit?</t>
        </is>
      </c>
      <c r="C14" s="19" t="inlineStr">
        <is>
          <t>Witnessed operation is worth more than any data sheet.</t>
        </is>
      </c>
      <c r="D14" s="19" t="inlineStr">
        <is>
          <t>Reference contact list; site visit offer</t>
        </is>
      </c>
      <c r="E14" s="24" t="inlineStr">
        <is>
          <t>High</t>
        </is>
      </c>
      <c r="F14" s="21" t="inlineStr">
        <is>
          <t>C2</t>
        </is>
      </c>
      <c r="G14" s="22" t="n"/>
      <c r="H14" s="23" t="n"/>
      <c r="I14" s="23" t="n"/>
      <c r="J14" s="23" t="n"/>
      <c r="K14" s="23" t="n"/>
    </row>
    <row r="15" ht="46" customHeight="1">
      <c r="A15" s="18" t="inlineStr">
        <is>
          <t>A-10</t>
        </is>
      </c>
      <c r="B15" s="19" t="inlineStr">
        <is>
          <t>Provide your ammonia product roadmap for the next 5 years: unit sizes, TRL steps, dated milestones, and which are funded and committed versus aspirational.</t>
        </is>
      </c>
      <c r="C15" s="19" t="inlineStr">
        <is>
          <t>Tells us whether our unit sits before or after the de-risking milestones.</t>
        </is>
      </c>
      <c r="D15" s="19" t="inlineStr">
        <is>
          <t>Dated roadmap; funding status per milestone</t>
        </is>
      </c>
      <c r="E15" s="24" t="inlineStr">
        <is>
          <t>High</t>
        </is>
      </c>
      <c r="F15" s="21" t="inlineStr">
        <is>
          <t>C2</t>
        </is>
      </c>
      <c r="G15" s="22" t="n"/>
      <c r="H15" s="23" t="n"/>
      <c r="I15" s="23" t="n"/>
      <c r="J15" s="23" t="n"/>
      <c r="K15" s="23" t="n"/>
    </row>
    <row r="17" ht="22" customHeight="1">
      <c r="A17" s="16" t="inlineStr">
        <is>
          <t>B — Rating, configuration &amp; site conditions</t>
        </is>
      </c>
      <c r="B17" s="17" t="n"/>
      <c r="C17" s="17" t="n"/>
      <c r="D17" s="17" t="n"/>
      <c r="E17" s="17" t="n"/>
      <c r="F17" s="17" t="n"/>
      <c r="G17" s="17" t="n"/>
      <c r="H17" s="17" t="n"/>
      <c r="I17" s="17" t="n"/>
      <c r="J17" s="17" t="n"/>
      <c r="K17" s="17" t="n"/>
    </row>
    <row r="18" ht="46" customHeight="1">
      <c r="A18" s="18" t="inlineStr">
        <is>
          <t>B-01</t>
        </is>
      </c>
      <c r="B18" s="19" t="inlineStr">
        <is>
          <t>State genset electrical output (MWe) at ISO conditions and at our site conditions, and provide the full derate curve versus ambient temperature and relative humidity.</t>
        </is>
      </c>
      <c r="C18" s="19" t="inlineStr">
        <is>
          <t>Johor/Singapore ambient is materially above ISO. Good = derate stated, not buried.</t>
        </is>
      </c>
      <c r="D18" s="19" t="inlineStr">
        <is>
          <t>Derate curves (power and heat rate) 25-38 degC</t>
        </is>
      </c>
      <c r="E18" s="20" t="inlineStr">
        <is>
          <t>Critical</t>
        </is>
      </c>
      <c r="F18" s="21" t="inlineStr">
        <is>
          <t>C4</t>
        </is>
      </c>
      <c r="G18" s="22" t="n"/>
      <c r="H18" s="23" t="n"/>
      <c r="I18" s="23" t="n"/>
      <c r="J18" s="23" t="n"/>
      <c r="K18" s="23" t="n"/>
    </row>
    <row r="19" ht="30" customHeight="1">
      <c r="A19" s="18" t="inlineStr">
        <is>
          <t>B-02</t>
        </is>
      </c>
      <c r="B19" s="19" t="inlineStr">
        <is>
          <t>Give mechanical output, generator efficiency, package auxiliary load (kWe) and net export at 100 / 75 / 50 / 25 % load on ammonia.</t>
        </is>
      </c>
      <c r="C19" s="19" t="inlineStr">
        <is>
          <t>Ammonia packages carry heavy parasitics (fuel skid, N2, after-treatment). Net export is what we sell.</t>
        </is>
      </c>
      <c r="D19" s="19" t="inlineStr">
        <is>
          <t>Heat and mass balance at four load points</t>
        </is>
      </c>
      <c r="E19" s="20" t="inlineStr">
        <is>
          <t>Critical</t>
        </is>
      </c>
      <c r="F19" s="21" t="inlineStr">
        <is>
          <t>C4</t>
        </is>
      </c>
      <c r="G19" s="22" t="n"/>
      <c r="H19" s="23" t="n"/>
      <c r="I19" s="23" t="n"/>
      <c r="J19" s="23" t="n"/>
      <c r="K19" s="23" t="n"/>
    </row>
    <row r="20" ht="46" customHeight="1">
      <c r="A20" s="18" t="inlineStr">
        <is>
          <t>B-03</t>
        </is>
      </c>
      <c r="B20" s="19" t="inlineStr">
        <is>
          <t>State the guaranteed net electrical efficiency (% LHV) on ammonia at each load point, with tolerance and the measurement standard applied (e.g. ISO 3046-1, ISO 8528, ASME PTC 17).</t>
        </is>
      </c>
      <c r="C20" s="19" t="inlineStr">
        <is>
          <t>A guarantee without a named test standard and tolerance is not a guarantee.</t>
        </is>
      </c>
      <c r="D20" s="19" t="inlineStr">
        <is>
          <t>Guarantee schedule with standard and tolerance</t>
        </is>
      </c>
      <c r="E20" s="20" t="inlineStr">
        <is>
          <t>Critical</t>
        </is>
      </c>
      <c r="F20" s="21" t="inlineStr">
        <is>
          <t>C4</t>
        </is>
      </c>
      <c r="G20" s="22" t="n"/>
      <c r="H20" s="23" t="n"/>
      <c r="I20" s="23" t="n"/>
      <c r="J20" s="23" t="n"/>
      <c r="K20" s="23" t="n"/>
    </row>
    <row r="21" ht="30" customHeight="1">
      <c r="A21" s="18" t="inlineStr">
        <is>
          <t>B-04</t>
        </is>
      </c>
      <c r="B21" s="19" t="inlineStr">
        <is>
          <t>State the same engine's efficiency on the fallback fuel(s) (diesel / natural gas) and quantify the ammonia penalty in percentage points.</t>
        </is>
      </c>
      <c r="C21" s="19" t="inlineStr">
        <is>
          <t>Sizes the efficiency cost of ammonia firing on identical hardware.</t>
        </is>
      </c>
      <c r="D21" s="19" t="inlineStr">
        <is>
          <t>Comparative performance sheet</t>
        </is>
      </c>
      <c r="E21" s="24" t="inlineStr">
        <is>
          <t>High</t>
        </is>
      </c>
      <c r="F21" s="21" t="inlineStr">
        <is>
          <t>C4</t>
        </is>
      </c>
      <c r="G21" s="22" t="n"/>
      <c r="H21" s="23" t="n"/>
      <c r="I21" s="23" t="n"/>
      <c r="J21" s="23" t="n"/>
      <c r="K21" s="23" t="n"/>
    </row>
    <row r="22" ht="30" customHeight="1">
      <c r="A22" s="18" t="inlineStr">
        <is>
          <t>B-05</t>
        </is>
      </c>
      <c r="B22" s="19" t="inlineStr">
        <is>
          <t>Minimum stable load on ammonia (% MCR) and on pilot/back-up fuel; state any time limit for continuous operation at minimum load.</t>
        </is>
      </c>
      <c r="C22" s="19" t="inlineStr">
        <is>
          <t>Drives dispatchability and the number of units needed for turndown.</t>
        </is>
      </c>
      <c r="D22" s="19" t="inlineStr">
        <is>
          <t>Load range statement with time limits</t>
        </is>
      </c>
      <c r="E22" s="24" t="inlineStr">
        <is>
          <t>High</t>
        </is>
      </c>
      <c r="F22" s="21" t="inlineStr">
        <is>
          <t>C4</t>
        </is>
      </c>
      <c r="G22" s="22" t="n"/>
      <c r="H22" s="23" t="n"/>
      <c r="I22" s="23" t="n"/>
      <c r="J22" s="23" t="n"/>
      <c r="K22" s="23" t="n"/>
    </row>
    <row r="23" ht="46" customHeight="1">
      <c r="A23" s="18" t="inlineStr">
        <is>
          <t>B-06</t>
        </is>
      </c>
      <c r="B23" s="19" t="inlineStr">
        <is>
          <t>Is the maximum ammonia energy share available across the whole load range, or only above a threshold load? Give the achievable ammonia share versus load.</t>
        </is>
      </c>
      <c r="C23" s="19" t="inlineStr">
        <is>
          <t>Common constraint: high ammonia share only at high load. Directly reduces annual ammonia substitution.</t>
        </is>
      </c>
      <c r="D23" s="19" t="inlineStr">
        <is>
          <t>NH3 share vs. load curve</t>
        </is>
      </c>
      <c r="E23" s="20" t="inlineStr">
        <is>
          <t>Critical</t>
        </is>
      </c>
      <c r="F23" s="21" t="inlineStr">
        <is>
          <t>C1</t>
        </is>
      </c>
      <c r="G23" s="22" t="n"/>
      <c r="H23" s="23" t="n"/>
      <c r="I23" s="23" t="n"/>
      <c r="J23" s="23" t="n"/>
      <c r="K23" s="23" t="n"/>
    </row>
    <row r="24" ht="30" customHeight="1">
      <c r="A24" s="18" t="inlineStr">
        <is>
          <t>B-07</t>
        </is>
      </c>
      <c r="B24" s="19" t="inlineStr">
        <is>
          <t>Confirm number of engines per block, the N+1 philosophy assumed, and the plant impact of a single-unit trip.</t>
        </is>
      </c>
      <c r="C24" s="19" t="inlineStr">
        <is>
          <t>Modularity is the engine's main advantage over a turbine; quantify it.</t>
        </is>
      </c>
      <c r="D24" s="19" t="inlineStr">
        <is>
          <t>Plant configuration sketch</t>
        </is>
      </c>
      <c r="E24" s="25" t="inlineStr">
        <is>
          <t>Medium</t>
        </is>
      </c>
      <c r="F24" s="21" t="inlineStr">
        <is>
          <t>C10</t>
        </is>
      </c>
      <c r="G24" s="22" t="n"/>
      <c r="H24" s="23" t="n"/>
      <c r="I24" s="23" t="n"/>
      <c r="J24" s="23" t="n"/>
      <c r="K24" s="23" t="n"/>
    </row>
    <row r="25" ht="46" customHeight="1">
      <c r="A25" s="18" t="inlineStr">
        <is>
          <t>B-08</t>
        </is>
      </c>
      <c r="B25" s="19" t="inlineStr">
        <is>
          <t>Give package footprint, weight, engine hall / enclosure requirements, crane heights, and any separation distances driven specifically by ammonia toxicity.</t>
        </is>
      </c>
      <c r="C25" s="19" t="inlineStr">
        <is>
          <t>Ammonia toxicity separation can dominate plot area, not the engine itself.</t>
        </is>
      </c>
      <c r="D25" s="19" t="inlineStr">
        <is>
          <t>GA drawings; separation distance basis</t>
        </is>
      </c>
      <c r="E25" s="24" t="inlineStr">
        <is>
          <t>High</t>
        </is>
      </c>
      <c r="F25" s="21" t="inlineStr">
        <is>
          <t>C6</t>
        </is>
      </c>
      <c r="G25" s="22" t="n"/>
      <c r="H25" s="23" t="n"/>
      <c r="I25" s="23" t="n"/>
      <c r="J25" s="23" t="n"/>
      <c r="K25" s="23" t="n"/>
    </row>
    <row r="26" ht="30" customHeight="1">
      <c r="A26" s="18" t="inlineStr">
        <is>
          <t>B-09</t>
        </is>
      </c>
      <c r="B26" s="19" t="inlineStr">
        <is>
          <t>State water consumption and cooling options (radiator vs. cooling tower) with heat rejection at site ambient.</t>
        </is>
      </c>
      <c r="C26" s="19" t="inlineStr">
        <is>
          <t>Low water use is a claimed engine advantage; confirm it survives the ammonia after-treatment train.</t>
        </is>
      </c>
      <c r="D26" s="19" t="inlineStr">
        <is>
          <t>Cooling system datasheet</t>
        </is>
      </c>
      <c r="E26" s="25" t="inlineStr">
        <is>
          <t>Medium</t>
        </is>
      </c>
      <c r="F26" s="21" t="inlineStr">
        <is>
          <t>C4</t>
        </is>
      </c>
      <c r="G26" s="22" t="n"/>
      <c r="H26" s="23" t="n"/>
      <c r="I26" s="23" t="n"/>
      <c r="J26" s="23" t="n"/>
      <c r="K26" s="23" t="n"/>
    </row>
    <row r="27" ht="15" customHeight="1">
      <c r="A27" s="18" t="inlineStr">
        <is>
          <t>B-10</t>
        </is>
      </c>
      <c r="B27" s="19" t="inlineStr">
        <is>
          <t>Give noise and vibration data and foundation requirements.</t>
        </is>
      </c>
      <c r="C27" s="19" t="inlineStr">
        <is>
          <t>Standard scope item; needed for the civil interface.</t>
        </is>
      </c>
      <c r="D27" s="19" t="inlineStr">
        <is>
          <t>Noise data sheet; foundation loads</t>
        </is>
      </c>
      <c r="E27" s="25" t="inlineStr">
        <is>
          <t>Medium</t>
        </is>
      </c>
      <c r="F27" s="21" t="inlineStr">
        <is>
          <t>C10</t>
        </is>
      </c>
      <c r="G27" s="22" t="n"/>
      <c r="H27" s="23" t="n"/>
      <c r="I27" s="23" t="n"/>
      <c r="J27" s="23" t="n"/>
      <c r="K27" s="23" t="n"/>
    </row>
    <row r="29" ht="22" customHeight="1">
      <c r="A29" s="16" t="inlineStr">
        <is>
          <t>C — Combustion system &amp; combustor maturity</t>
        </is>
      </c>
      <c r="B29" s="17" t="n"/>
      <c r="C29" s="17" t="n"/>
      <c r="D29" s="17" t="n"/>
      <c r="E29" s="17" t="n"/>
      <c r="F29" s="17" t="n"/>
      <c r="G29" s="17" t="n"/>
      <c r="H29" s="17" t="n"/>
      <c r="I29" s="17" t="n"/>
      <c r="J29" s="17" t="n"/>
      <c r="K29" s="17" t="n"/>
    </row>
    <row r="30" ht="62" customHeight="1">
      <c r="A30" s="18" t="inlineStr">
        <is>
          <t>C-01</t>
        </is>
      </c>
      <c r="B30" s="19" t="inlineStr">
        <is>
          <t>Describe the ammonia combustion concept in full: port injection / low-pressure gas admission / high-pressure liquid direct injection / pre-chamber spark / dual-fuel compression ignition. State the injection pressure and the phase of ammonia (liquid or vapour) at the cylinder.</t>
        </is>
      </c>
      <c r="C30" s="19" t="inlineStr">
        <is>
          <t>This is the heart of the technology and the primary differentiator between OEMs.</t>
        </is>
      </c>
      <c r="D30" s="19" t="inlineStr">
        <is>
          <t>Combustion system description; sectional drawings</t>
        </is>
      </c>
      <c r="E30" s="20" t="inlineStr">
        <is>
          <t>Critical</t>
        </is>
      </c>
      <c r="F30" s="21" t="inlineStr">
        <is>
          <t>C1</t>
        </is>
      </c>
      <c r="G30" s="22" t="n"/>
      <c r="H30" s="23" t="n"/>
      <c r="I30" s="23" t="n"/>
      <c r="J30" s="23" t="n"/>
      <c r="K30" s="23" t="n"/>
    </row>
    <row r="31" ht="46" customHeight="1">
      <c r="A31" s="18" t="inlineStr">
        <is>
          <t>C-02</t>
        </is>
      </c>
      <c r="B31" s="19" t="inlineStr">
        <is>
          <t>State the ignition strategy: pilot liquid fuel (which fuel — MGO, diesel, HVO), pre-chamber, spark, or hydrogen assistance. Is a pilot-free concept offered or on the roadmap, and when?</t>
        </is>
      </c>
      <c r="C31" s="19" t="inlineStr">
        <is>
          <t>Pilot fuel is a permanent fossil tail and a permanent second fuel logistics chain.</t>
        </is>
      </c>
      <c r="D31" s="19" t="inlineStr">
        <is>
          <t>Ignition system description; pilot fuel spec</t>
        </is>
      </c>
      <c r="E31" s="20" t="inlineStr">
        <is>
          <t>Critical</t>
        </is>
      </c>
      <c r="F31" s="21" t="inlineStr">
        <is>
          <t>C1</t>
        </is>
      </c>
      <c r="G31" s="22" t="n"/>
      <c r="H31" s="23" t="n"/>
      <c r="I31" s="23" t="n"/>
      <c r="J31" s="23" t="n"/>
      <c r="K31" s="23" t="n"/>
    </row>
    <row r="32" ht="46" customHeight="1">
      <c r="A32" s="18" t="inlineStr">
        <is>
          <t>C-03</t>
        </is>
      </c>
      <c r="B32" s="19" t="inlineStr">
        <is>
          <t>State the minimum pilot fuel energy share at 100 / 75 / 50 / 25 % load, how it varies with ambient, and the guaranteed maximum ammonia energy fraction at each load.</t>
        </is>
      </c>
      <c r="C32" s="19" t="inlineStr">
        <is>
          <t>Pilot share sets the residual CO2 and the fuel logistics. Published 4-stroke and 2-stroke concepts have quoted pilot shares around 5 % of energy — confirm for this engine.</t>
        </is>
      </c>
      <c r="D32" s="19" t="inlineStr">
        <is>
          <t>Pilot share vs. load table; guarantee wording</t>
        </is>
      </c>
      <c r="E32" s="20" t="inlineStr">
        <is>
          <t>Critical</t>
        </is>
      </c>
      <c r="F32" s="21" t="inlineStr">
        <is>
          <t>C1</t>
        </is>
      </c>
      <c r="G32" s="22" t="n"/>
      <c r="H32" s="23" t="n"/>
      <c r="I32" s="23" t="n"/>
      <c r="J32" s="23" t="n"/>
      <c r="K32" s="23" t="n"/>
    </row>
    <row r="33" ht="62" customHeight="1">
      <c r="A33" s="18" t="inlineStr">
        <is>
          <t>C-04</t>
        </is>
      </c>
      <c r="B33" s="19" t="inlineStr">
        <is>
          <t>Ammonia's laminar flame speed is roughly one-fifth that of methane-air. What specific design measures address flame speed, ignition delay and burn duration — combustion chamber geometry, swirl, compression ratio, injection timing, staged injection, hydrogen enrichment, on-board partial cracking?</t>
        </is>
      </c>
      <c r="C33" s="19" t="inlineStr">
        <is>
          <t>Tests whether the OEM has engineered for ammonia or merely substituted the fuel.</t>
        </is>
      </c>
      <c r="D33" s="19" t="inlineStr">
        <is>
          <t>Design rationale; combustion development report</t>
        </is>
      </c>
      <c r="E33" s="20" t="inlineStr">
        <is>
          <t>Critical</t>
        </is>
      </c>
      <c r="F33" s="21" t="inlineStr">
        <is>
          <t>C1</t>
        </is>
      </c>
      <c r="G33" s="22" t="n"/>
      <c r="H33" s="23" t="n"/>
      <c r="I33" s="23" t="n"/>
      <c r="J33" s="23" t="n"/>
      <c r="K33" s="23" t="n"/>
    </row>
    <row r="34" ht="46" customHeight="1">
      <c r="A34" s="18" t="inlineStr">
        <is>
          <t>C-05</t>
        </is>
      </c>
      <c r="B34" s="19" t="inlineStr">
        <is>
          <t>Is a partial ammonia cracker or hydrogen generation loop part of the package? If yes: cracked fraction, heat source, start-up sequence, and engine behaviour if the cracker trips.</t>
        </is>
      </c>
      <c r="C34" s="19" t="inlineStr">
        <is>
          <t>A cracker in the fuel loop adds a whole second technology and a new single point of failure.</t>
        </is>
      </c>
      <c r="D34" s="19" t="inlineStr">
        <is>
          <t>Cracker P&amp;ID; trip case analysis</t>
        </is>
      </c>
      <c r="E34" s="24" t="inlineStr">
        <is>
          <t>High</t>
        </is>
      </c>
      <c r="F34" s="21" t="inlineStr">
        <is>
          <t>C1</t>
        </is>
      </c>
      <c r="G34" s="22" t="n"/>
      <c r="H34" s="23" t="n"/>
      <c r="I34" s="23" t="n"/>
      <c r="J34" s="23" t="n"/>
      <c r="K34" s="23" t="n"/>
    </row>
    <row r="35" ht="46" customHeight="1">
      <c r="A35" s="18" t="inlineStr">
        <is>
          <t>C-06</t>
        </is>
      </c>
      <c r="B35" s="19" t="inlineStr">
        <is>
          <t>Provide measured combustion stability data on ammonia: cycle-to-cycle coefficient of variation of IMEP at 100 / 50 / 25 % load, and the observed misfire and partial-burn rate on the testbed.</t>
        </is>
      </c>
      <c r="C35" s="19" t="inlineStr">
        <is>
          <t>Numerical proof of combustion robustness. Good = COV of IMEP low and stable across the load range, with a stated misfire rate.</t>
        </is>
      </c>
      <c r="D35" s="19" t="inlineStr">
        <is>
          <t>Testbed COV(IMEP) data; misfire statistics</t>
        </is>
      </c>
      <c r="E35" s="20" t="inlineStr">
        <is>
          <t>Critical</t>
        </is>
      </c>
      <c r="F35" s="21" t="inlineStr">
        <is>
          <t>C1</t>
        </is>
      </c>
      <c r="G35" s="22" t="n"/>
      <c r="H35" s="23" t="n"/>
      <c r="I35" s="23" t="n"/>
      <c r="J35" s="23" t="n"/>
      <c r="K35" s="23" t="n"/>
    </row>
    <row r="36" ht="30" customHeight="1">
      <c r="A36" s="18" t="inlineStr">
        <is>
          <t>C-07</t>
        </is>
      </c>
      <c r="B36" s="19" t="inlineStr">
        <is>
          <t>Describe knock and pre-ignition margin on ammonia. Is the pilot fuel the knock-limiting element? How is knock detected and controlled?</t>
        </is>
      </c>
      <c r="C36" s="19" t="inlineStr">
        <is>
          <t>Ammonia resists knock; the pilot injection does not. The limit usually migrates to the pilot.</t>
        </is>
      </c>
      <c r="D36" s="19" t="inlineStr">
        <is>
          <t>Knock margin study; control description</t>
        </is>
      </c>
      <c r="E36" s="24" t="inlineStr">
        <is>
          <t>High</t>
        </is>
      </c>
      <c r="F36" s="21" t="inlineStr">
        <is>
          <t>C1</t>
        </is>
      </c>
      <c r="G36" s="22" t="n"/>
      <c r="H36" s="23" t="n"/>
      <c r="I36" s="23" t="n"/>
      <c r="J36" s="23" t="n"/>
      <c r="K36" s="23" t="n"/>
    </row>
    <row r="37" ht="46" customHeight="1">
      <c r="A37" s="18" t="inlineStr">
        <is>
          <t>C-08</t>
        </is>
      </c>
      <c r="B37" s="19" t="inlineStr">
        <is>
          <t>Is there per-cylinder combustion sensing (cylinder pressure, ion current, knock sensor) with closed-loop control? State the control authority used to balance cylinders (pilot quantity, ammonia timing, lambda) and the balancing achieved.</t>
        </is>
      </c>
      <c r="C37" s="19" t="inlineStr">
        <is>
          <t>Cylinder-to-cylinder imbalance is the classic cause of partial burn and ammonia slip on multi-cylinder engines.</t>
        </is>
      </c>
      <c r="D37" s="19" t="inlineStr">
        <is>
          <t>Control system architecture; balancing test data</t>
        </is>
      </c>
      <c r="E37" s="20" t="inlineStr">
        <is>
          <t>Critical</t>
        </is>
      </c>
      <c r="F37" s="21" t="inlineStr">
        <is>
          <t>C1</t>
        </is>
      </c>
      <c r="G37" s="22" t="n"/>
      <c r="H37" s="23" t="n"/>
      <c r="I37" s="23" t="n"/>
      <c r="J37" s="23" t="n"/>
      <c r="K37" s="23" t="n"/>
    </row>
    <row r="38" ht="46" customHeight="1">
      <c r="A38" s="18" t="inlineStr">
        <is>
          <t>C-09</t>
        </is>
      </c>
      <c r="B38" s="19" t="inlineStr">
        <is>
          <t>LOSS OF FIRING: state the detection method, detection time, and automatic response for (a) single-cylinder misfire, (b) multi-cylinder misfire, (c) total flame loss. Does the engine trip, load-shed, or revert automatically to pilot fuel?</t>
        </is>
      </c>
      <c r="C38" s="19" t="inlineStr">
        <is>
          <t>The user's core question. Good = fast per-cylinder detection with a defined, tested, automatic response short of a full trip.</t>
        </is>
      </c>
      <c r="D38" s="19" t="inlineStr">
        <is>
          <t>Cause-and-effect / trip matrix; test evidence</t>
        </is>
      </c>
      <c r="E38" s="20" t="inlineStr">
        <is>
          <t>Critical</t>
        </is>
      </c>
      <c r="F38" s="21" t="inlineStr">
        <is>
          <t>C3</t>
        </is>
      </c>
      <c r="G38" s="22" t="n"/>
      <c r="H38" s="23" t="n"/>
      <c r="I38" s="23" t="n"/>
      <c r="J38" s="23" t="n"/>
      <c r="K38" s="23" t="n"/>
    </row>
    <row r="39" ht="62" customHeight="1">
      <c r="A39" s="18" t="inlineStr">
        <is>
          <t>C-10</t>
        </is>
      </c>
      <c r="B39" s="19" t="inlineStr">
        <is>
          <t>After a misfire, where does the unburnt ammonia go? State the expected exhaust ammonia spike magnitude and duration, the deflagration risk in the exhaust system and after-treatment, and the mitigations (auto-purge, inerting, forced ventilation, exhaust relief panels).</t>
        </is>
      </c>
      <c r="C39" s="19" t="inlineStr">
        <is>
          <t>An unburnt-ammonia excursion is both a toxic release and an explosion hazard in the exhaust train. Frequently under-addressed.</t>
        </is>
      </c>
      <c r="D39" s="19" t="inlineStr">
        <is>
          <t>Exhaust excursion study; HAZOP node on misfire</t>
        </is>
      </c>
      <c r="E39" s="20" t="inlineStr">
        <is>
          <t>Critical</t>
        </is>
      </c>
      <c r="F39" s="21" t="inlineStr">
        <is>
          <t>C3</t>
        </is>
      </c>
      <c r="G39" s="22" t="n"/>
      <c r="H39" s="23" t="n"/>
      <c r="I39" s="23" t="n"/>
      <c r="J39" s="23" t="n"/>
      <c r="K39" s="23" t="n"/>
    </row>
    <row r="40" ht="62" customHeight="1">
      <c r="A40" s="18" t="inlineStr">
        <is>
          <t>C-11</t>
        </is>
      </c>
      <c r="B40" s="19" t="inlineStr">
        <is>
          <t>Address lubricating oil compatibility: ammonia and water crossover into the crankcase, oil dilution, nitrate / nitrite / nitric-acid formation and resulting corrosion. State the required lube oil specification and base number, the oil change interval, and the evidence base behind them.</t>
        </is>
      </c>
      <c r="C40" s="19" t="inlineStr">
        <is>
          <t>A known and under-published ammonia engine failure path; drives OPEX and bearing life.</t>
        </is>
      </c>
      <c r="D40" s="19" t="inlineStr">
        <is>
          <t>Lube oil specification; used-oil analysis from endurance runs</t>
        </is>
      </c>
      <c r="E40" s="20" t="inlineStr">
        <is>
          <t>Critical</t>
        </is>
      </c>
      <c r="F40" s="21" t="inlineStr">
        <is>
          <t>C1</t>
        </is>
      </c>
      <c r="G40" s="22" t="n"/>
      <c r="H40" s="23" t="n"/>
      <c r="I40" s="23" t="n"/>
      <c r="J40" s="23" t="n"/>
      <c r="K40" s="23" t="n"/>
    </row>
    <row r="41" ht="46" customHeight="1">
      <c r="A41" s="18" t="inlineStr">
        <is>
          <t>C-12</t>
        </is>
      </c>
      <c r="B41" s="19" t="inlineStr">
        <is>
          <t>State the materials of the combustion chamber, valves, valve seats, injectors and fuel-wetted parts: ammonia compatibility, exclusion of copper and copper alloys, stress-corrosion-cracking control, and demonstrated component life.</t>
        </is>
      </c>
      <c r="C41" s="19" t="inlineStr">
        <is>
          <t>Ammonia attacks copper alloys and can cause SCC in some steels. Material control is a maturity signal.</t>
        </is>
      </c>
      <c r="D41" s="19" t="inlineStr">
        <is>
          <t>Material specification list; compatibility assessment</t>
        </is>
      </c>
      <c r="E41" s="20" t="inlineStr">
        <is>
          <t>Critical</t>
        </is>
      </c>
      <c r="F41" s="21" t="inlineStr">
        <is>
          <t>C1</t>
        </is>
      </c>
      <c r="G41" s="22" t="n"/>
      <c r="H41" s="23" t="n"/>
      <c r="I41" s="23" t="n"/>
      <c r="J41" s="23" t="n"/>
      <c r="K41" s="23" t="n"/>
    </row>
    <row r="42" ht="46" customHeight="1">
      <c r="A42" s="18" t="inlineStr">
        <is>
          <t>C-13</t>
        </is>
      </c>
      <c r="B42" s="19" t="inlineStr">
        <is>
          <t>Give component life and overhaul intervals for the ammonia-specific parts (main injectors, pilot injectors, valves, pre-chamber, seats) and compare with the same parts on the natural-gas or diesel parent engine — in hours and in cost.</t>
        </is>
      </c>
      <c r="C42" s="19" t="inlineStr">
        <is>
          <t>Quantifies the maintenance penalty of ammonia on otherwise identical hardware.</t>
        </is>
      </c>
      <c r="D42" s="19" t="inlineStr">
        <is>
          <t>Component life table vs. parent engine</t>
        </is>
      </c>
      <c r="E42" s="20" t="inlineStr">
        <is>
          <t>Critical</t>
        </is>
      </c>
      <c r="F42" s="21" t="inlineStr">
        <is>
          <t>C9</t>
        </is>
      </c>
      <c r="G42" s="22" t="n"/>
      <c r="H42" s="23" t="n"/>
      <c r="I42" s="23" t="n"/>
      <c r="J42" s="23" t="n"/>
      <c r="K42" s="23" t="n"/>
    </row>
    <row r="43" ht="46" customHeight="1">
      <c r="A43" s="18" t="inlineStr">
        <is>
          <t>C-14</t>
        </is>
      </c>
      <c r="B43" s="19" t="inlineStr">
        <is>
          <t>Describe deposit and fouling behaviour: ammonium salt formation (nitrate, nitrite, carbamate) in the exhaust, turbocharger and after-treatment. Provide endurance-run evidence and the cleaning regime required.</t>
        </is>
      </c>
      <c r="C43" s="19" t="inlineStr">
        <is>
          <t>Ammonium salt deposition can foul turbochargers and catalysts and is a real availability risk.</t>
        </is>
      </c>
      <c r="D43" s="19" t="inlineStr">
        <is>
          <t>Endurance inspection reports; cleaning procedure</t>
        </is>
      </c>
      <c r="E43" s="24" t="inlineStr">
        <is>
          <t>High</t>
        </is>
      </c>
      <c r="F43" s="21" t="inlineStr">
        <is>
          <t>C9</t>
        </is>
      </c>
      <c r="G43" s="22" t="n"/>
      <c r="H43" s="23" t="n"/>
      <c r="I43" s="23" t="n"/>
      <c r="J43" s="23" t="n"/>
      <c r="K43" s="23" t="n"/>
    </row>
    <row r="44" ht="30" customHeight="1">
      <c r="A44" s="18" t="inlineStr">
        <is>
          <t>C-15</t>
        </is>
      </c>
      <c r="B44" s="19" t="inlineStr">
        <is>
          <t>Is the turbocharger re-matched for ammonia versus the parent engine? State surge margin during fuel transitions and during load steps.</t>
        </is>
      </c>
      <c r="C44" s="19" t="inlineStr">
        <is>
          <t>Ammonia's different air demand and lower flame speed change the TC match; surge during transition is a real event.</t>
        </is>
      </c>
      <c r="D44" s="19" t="inlineStr">
        <is>
          <t>TC matching report; surge margin curves</t>
        </is>
      </c>
      <c r="E44" s="24" t="inlineStr">
        <is>
          <t>High</t>
        </is>
      </c>
      <c r="F44" s="21" t="inlineStr">
        <is>
          <t>C1</t>
        </is>
      </c>
      <c r="G44" s="22" t="n"/>
      <c r="H44" s="23" t="n"/>
      <c r="I44" s="23" t="n"/>
      <c r="J44" s="23" t="n"/>
      <c r="K44" s="23" t="n"/>
    </row>
    <row r="45" ht="46" customHeight="1">
      <c r="A45" s="18" t="inlineStr">
        <is>
          <t>C-16</t>
        </is>
      </c>
      <c r="B45" s="19" t="inlineStr">
        <is>
          <t>Provide testbed evidence: longest continuous run at maximum ammonia share, total endurance hours, number of start-stop cycles, number of fuel transitions performed, and any teardown or inspection reports we may review.</t>
        </is>
      </c>
      <c r="C45" s="19" t="inlineStr">
        <is>
          <t>Hours plus teardown evidence is the strongest maturity proof available.</t>
        </is>
      </c>
      <c r="D45" s="19" t="inlineStr">
        <is>
          <t>Endurance test report; teardown inspection report</t>
        </is>
      </c>
      <c r="E45" s="20" t="inlineStr">
        <is>
          <t>Critical</t>
        </is>
      </c>
      <c r="F45" s="21" t="inlineStr">
        <is>
          <t>C2</t>
        </is>
      </c>
      <c r="G45" s="22" t="n"/>
      <c r="H45" s="23" t="n"/>
      <c r="I45" s="23" t="n"/>
      <c r="J45" s="23" t="n"/>
      <c r="K45" s="23" t="n"/>
    </row>
    <row r="46" ht="46" customHeight="1">
      <c r="A46" s="18" t="inlineStr">
        <is>
          <t>C-17</t>
        </is>
      </c>
      <c r="B46" s="19" t="inlineStr">
        <is>
          <t>Has the combustion system completed a type approval test (marine class society) or an equivalent stationary type test? Name the body and the scope covered.</t>
        </is>
      </c>
      <c r="C46" s="19" t="inlineStr">
        <is>
          <t>Third-party type approval materially de-risks the combustion claim.</t>
        </is>
      </c>
      <c r="D46" s="19" t="inlineStr">
        <is>
          <t>Type approval certificate and scope</t>
        </is>
      </c>
      <c r="E46" s="20" t="inlineStr">
        <is>
          <t>Critical</t>
        </is>
      </c>
      <c r="F46" s="21" t="inlineStr">
        <is>
          <t>C2</t>
        </is>
      </c>
      <c r="G46" s="22" t="n"/>
      <c r="H46" s="23" t="n"/>
      <c r="I46" s="23" t="n"/>
      <c r="J46" s="23" t="n"/>
      <c r="K46" s="23" t="n"/>
    </row>
    <row r="47" ht="30" customHeight="1">
      <c r="A47" s="18" t="inlineStr">
        <is>
          <t>C-18</t>
        </is>
      </c>
      <c r="B47" s="19" t="inlineStr">
        <is>
          <t>Which combustion-related failure modes were found during development, and how were they closed out? Provide the relevant FMEA extract.</t>
        </is>
      </c>
      <c r="C47" s="19" t="inlineStr">
        <is>
          <t>Willingness to share failure history is itself a maturity and partnership signal.</t>
        </is>
      </c>
      <c r="D47" s="19" t="inlineStr">
        <is>
          <t>FMEA extract; corrective action register</t>
        </is>
      </c>
      <c r="E47" s="24" t="inlineStr">
        <is>
          <t>High</t>
        </is>
      </c>
      <c r="F47" s="21" t="inlineStr">
        <is>
          <t>C1</t>
        </is>
      </c>
      <c r="G47" s="22" t="n"/>
      <c r="H47" s="23" t="n"/>
      <c r="I47" s="23" t="n"/>
      <c r="J47" s="23" t="n"/>
      <c r="K47" s="23" t="n"/>
    </row>
    <row r="49" ht="22" customHeight="1">
      <c r="A49" s="16" t="inlineStr">
        <is>
          <t>D — Ammonia fuel supply system</t>
        </is>
      </c>
      <c r="B49" s="17" t="n"/>
      <c r="C49" s="17" t="n"/>
      <c r="D49" s="17" t="n"/>
      <c r="E49" s="17" t="n"/>
      <c r="F49" s="17" t="n"/>
      <c r="G49" s="17" t="n"/>
      <c r="H49" s="17" t="n"/>
      <c r="I49" s="17" t="n"/>
      <c r="J49" s="17" t="n"/>
      <c r="K49" s="17" t="n"/>
    </row>
    <row r="50" ht="46" customHeight="1">
      <c r="A50" s="18" t="inlineStr">
        <is>
          <t>D-01</t>
        </is>
      </c>
      <c r="B50" s="19" t="inlineStr">
        <is>
          <t>Provide the fuel supply scope and P&amp;ID from the storage battery limit to the engine inlet, with pressures, temperatures and phase at each stage, and a clear statement of who supplies what.</t>
        </is>
      </c>
      <c r="C50" s="19" t="inlineStr">
        <is>
          <t>Scope gaps at the fuel interface are the commonest source of cost and schedule surprise.</t>
        </is>
      </c>
      <c r="D50" s="19" t="inlineStr">
        <is>
          <t>P&amp;ID; battery limit schedule</t>
        </is>
      </c>
      <c r="E50" s="20" t="inlineStr">
        <is>
          <t>Critical</t>
        </is>
      </c>
      <c r="F50" s="21" t="inlineStr">
        <is>
          <t>C6</t>
        </is>
      </c>
      <c r="G50" s="22" t="n"/>
      <c r="H50" s="23" t="n"/>
      <c r="I50" s="23" t="n"/>
      <c r="J50" s="23" t="n"/>
      <c r="K50" s="23" t="n"/>
    </row>
    <row r="51" ht="46" customHeight="1">
      <c r="A51" s="18" t="inlineStr">
        <is>
          <t>D-02</t>
        </is>
      </c>
      <c r="B51" s="19" t="inlineStr">
        <is>
          <t>State the required ammonia quality specification at the engine inlet: purity, water content, oil content, inerts, particulates. What happens if fuel falls outside specification — alarm, derate, trip, guarantee void?</t>
        </is>
      </c>
      <c r="C51" s="19" t="inlineStr">
        <is>
          <t>Off-spec fuel is the OEM's standard guarantee escape. Fix the spec early and check we can meet it from the import stream.</t>
        </is>
      </c>
      <c r="D51" s="19" t="inlineStr">
        <is>
          <t>Fuel specification; off-spec consequence statement</t>
        </is>
      </c>
      <c r="E51" s="20" t="inlineStr">
        <is>
          <t>Critical</t>
        </is>
      </c>
      <c r="F51" s="21" t="inlineStr">
        <is>
          <t>C6</t>
        </is>
      </c>
      <c r="G51" s="22" t="n"/>
      <c r="H51" s="23" t="n"/>
      <c r="I51" s="23" t="n"/>
      <c r="J51" s="23" t="n"/>
      <c r="K51" s="23" t="n"/>
    </row>
    <row r="52" ht="46" customHeight="1">
      <c r="A52" s="18" t="inlineStr">
        <is>
          <t>D-03</t>
        </is>
      </c>
      <c r="B52" s="19" t="inlineStr">
        <is>
          <t>Describe the fuel conditioning skid (pump, heater or vaporiser, filtration, buffer vessel), its required supply pressure and temperature, its turndown, and its response rate.</t>
        </is>
      </c>
      <c r="C52" s="19" t="inlineStr">
        <is>
          <t>The skid, not the engine, often limits ramp rate and turndown.</t>
        </is>
      </c>
      <c r="D52" s="19" t="inlineStr">
        <is>
          <t>Skid datasheet; turndown and response data</t>
        </is>
      </c>
      <c r="E52" s="20" t="inlineStr">
        <is>
          <t>Critical</t>
        </is>
      </c>
      <c r="F52" s="21" t="inlineStr">
        <is>
          <t>C6</t>
        </is>
      </c>
      <c r="G52" s="22" t="n"/>
      <c r="H52" s="23" t="n"/>
      <c r="I52" s="23" t="n"/>
      <c r="J52" s="23" t="n"/>
      <c r="K52" s="23" t="n"/>
    </row>
    <row r="53" ht="30" customHeight="1">
      <c r="A53" s="18" t="inlineStr">
        <is>
          <t>D-04</t>
        </is>
      </c>
      <c r="B53" s="19" t="inlineStr">
        <is>
          <t>Describe the fuel valve train / fuel valve unit: double block and bleed arrangement, purge medium, leak test sequence and its cycle time.</t>
        </is>
      </c>
      <c r="C53" s="19" t="inlineStr">
        <is>
          <t>Governs start-up time and the integrity of every isolation.</t>
        </is>
      </c>
      <c r="D53" s="19" t="inlineStr">
        <is>
          <t>FVT design description; leak test sequence</t>
        </is>
      </c>
      <c r="E53" s="24" t="inlineStr">
        <is>
          <t>High</t>
        </is>
      </c>
      <c r="F53" s="21" t="inlineStr">
        <is>
          <t>C6</t>
        </is>
      </c>
      <c r="G53" s="22" t="n"/>
      <c r="H53" s="23" t="n"/>
      <c r="I53" s="23" t="n"/>
      <c r="J53" s="23" t="n"/>
      <c r="K53" s="23" t="n"/>
    </row>
    <row r="54" ht="30" customHeight="1">
      <c r="A54" s="18" t="inlineStr">
        <is>
          <t>D-05</t>
        </is>
      </c>
      <c r="B54" s="19" t="inlineStr">
        <is>
          <t>Describe the double-walled piping, ventilated annulus and gas / leak detection philosophy, including ppm setpoints for alarm and for trip.</t>
        </is>
      </c>
      <c r="C54" s="19" t="inlineStr">
        <is>
          <t>Ammonia is regulated on a toxicity basis, so detection is at ppm level, not LEL percentage.</t>
        </is>
      </c>
      <c r="D54" s="19" t="inlineStr">
        <is>
          <t>Detection philosophy; setpoint schedule</t>
        </is>
      </c>
      <c r="E54" s="20" t="inlineStr">
        <is>
          <t>Critical</t>
        </is>
      </c>
      <c r="F54" s="21" t="inlineStr">
        <is>
          <t>C6</t>
        </is>
      </c>
      <c r="G54" s="22" t="n"/>
      <c r="H54" s="23" t="n"/>
      <c r="I54" s="23" t="n"/>
      <c r="J54" s="23" t="n"/>
      <c r="K54" s="23" t="n"/>
    </row>
    <row r="55" ht="46" customHeight="1">
      <c r="A55" s="18" t="inlineStr">
        <is>
          <t>D-06</t>
        </is>
      </c>
      <c r="B55" s="19" t="inlineStr">
        <is>
          <t>State nitrogen demand for purging and inerting: Nm3 per purge, per start, per stop and per emergency shutdown; required N2 supply pressure and purity; and whether an N2 generator or bottle bank is in your scope.</t>
        </is>
      </c>
      <c r="C55" s="19" t="inlineStr">
        <is>
          <t>N2 is an easily-missed utility with real capex and a real availability dependency.</t>
        </is>
      </c>
      <c r="D55" s="19" t="inlineStr">
        <is>
          <t>N2 consumption schedule; utility list</t>
        </is>
      </c>
      <c r="E55" s="24" t="inlineStr">
        <is>
          <t>High</t>
        </is>
      </c>
      <c r="F55" s="21" t="inlineStr">
        <is>
          <t>C6</t>
        </is>
      </c>
      <c r="G55" s="22" t="n"/>
      <c r="H55" s="23" t="n"/>
      <c r="I55" s="23" t="n"/>
      <c r="J55" s="23" t="n"/>
      <c r="K55" s="23" t="n"/>
    </row>
    <row r="56" ht="46" customHeight="1">
      <c r="A56" s="18" t="inlineStr">
        <is>
          <t>D-07</t>
        </is>
      </c>
      <c r="B56" s="19" t="inlineStr">
        <is>
          <t>Where does purged and vented ammonia go — knock-out drum, water scrubber or absorber, flare? Is the vent treatment in your scope? State effluent volumes (ammoniated water) and disposal route.</t>
        </is>
      </c>
      <c r="C56" s="19" t="inlineStr">
        <is>
          <t>Ammonia venting to atmosphere is not acceptable in Singapore or Johor; the treatment train is real scope.</t>
        </is>
      </c>
      <c r="D56" s="19" t="inlineStr">
        <is>
          <t>Vent treatment P&amp;ID; effluent quantities</t>
        </is>
      </c>
      <c r="E56" s="20" t="inlineStr">
        <is>
          <t>Critical</t>
        </is>
      </c>
      <c r="F56" s="21" t="inlineStr">
        <is>
          <t>C6</t>
        </is>
      </c>
      <c r="G56" s="22" t="n"/>
      <c r="H56" s="23" t="n"/>
      <c r="I56" s="23" t="n"/>
      <c r="J56" s="23" t="n"/>
      <c r="K56" s="23" t="n"/>
    </row>
    <row r="57" ht="30" customHeight="1">
      <c r="A57" s="18" t="inlineStr">
        <is>
          <t>D-08</t>
        </is>
      </c>
      <c r="B57" s="19" t="inlineStr">
        <is>
          <t>Describe boil-off and vapour-return handling and the interface to a refrigerated ammonia storage tank.</t>
        </is>
      </c>
      <c r="C57" s="19" t="inlineStr">
        <is>
          <t>Ties the engine to the terminal design; refrigerated storage boil-off is commonly quoted around 0.025 %/day.</t>
        </is>
      </c>
      <c r="D57" s="19" t="inlineStr">
        <is>
          <t>Vapour return interface specification</t>
        </is>
      </c>
      <c r="E57" s="24" t="inlineStr">
        <is>
          <t>High</t>
        </is>
      </c>
      <c r="F57" s="21" t="inlineStr">
        <is>
          <t>C6</t>
        </is>
      </c>
      <c r="G57" s="22" t="n"/>
      <c r="H57" s="23" t="n"/>
      <c r="I57" s="23" t="n"/>
      <c r="J57" s="23" t="n"/>
      <c r="K57" s="23" t="n"/>
    </row>
    <row r="58" ht="46" customHeight="1">
      <c r="A58" s="18" t="inlineStr">
        <is>
          <t>D-09</t>
        </is>
      </c>
      <c r="B58" s="19" t="inlineStr">
        <is>
          <t>Can the ammonia fuel train follow the engine's load ramp, or does the skid limit the achievable ramp rate? State the limiting element and the resulting plant ramp rate.</t>
        </is>
      </c>
      <c r="C58" s="19" t="inlineStr">
        <is>
          <t>Determines whether the plant's dispatch flexibility is set by the engine or by the fuel system.</t>
        </is>
      </c>
      <c r="D58" s="19" t="inlineStr">
        <is>
          <t>Transient response test data</t>
        </is>
      </c>
      <c r="E58" s="24" t="inlineStr">
        <is>
          <t>High</t>
        </is>
      </c>
      <c r="F58" s="21" t="inlineStr">
        <is>
          <t>C4</t>
        </is>
      </c>
      <c r="G58" s="22" t="n"/>
      <c r="H58" s="23" t="n"/>
      <c r="I58" s="23" t="n"/>
      <c r="J58" s="23" t="n"/>
      <c r="K58" s="23" t="n"/>
    </row>
    <row r="59" ht="46" customHeight="1">
      <c r="A59" s="18" t="inlineStr">
        <is>
          <t>D-10</t>
        </is>
      </c>
      <c r="B59" s="19" t="inlineStr">
        <is>
          <t>Describe the pilot fuel system: storage, day tank sizing, filtration, and the minimum pilot fuel inventory required to guarantee a defined period of pilot-only or transition operation.</t>
        </is>
      </c>
      <c r="C59" s="19" t="inlineStr">
        <is>
          <t>Pilot fuel is a permanent second logistics chain and an availability dependency.</t>
        </is>
      </c>
      <c r="D59" s="19" t="inlineStr">
        <is>
          <t>Pilot fuel system description; day tank sizing basis</t>
        </is>
      </c>
      <c r="E59" s="24" t="inlineStr">
        <is>
          <t>High</t>
        </is>
      </c>
      <c r="F59" s="21" t="inlineStr">
        <is>
          <t>C6</t>
        </is>
      </c>
      <c r="G59" s="22" t="n"/>
      <c r="H59" s="23" t="n"/>
      <c r="I59" s="23" t="n"/>
      <c r="J59" s="23" t="n"/>
      <c r="K59" s="23" t="n"/>
    </row>
    <row r="60" ht="46" customHeight="1">
      <c r="A60" s="18" t="inlineStr">
        <is>
          <t>D-11</t>
        </is>
      </c>
      <c r="B60" s="19" t="inlineStr">
        <is>
          <t>Define the control interface between the engine control system and the plant DCS: protocol, signal list, and who owns the fuel changeover logic and the ammonia safety functions.</t>
        </is>
      </c>
      <c r="C60" s="19" t="inlineStr">
        <is>
          <t>Split ownership of changeover logic is a classic cause of unresolved trip disputes.</t>
        </is>
      </c>
      <c r="D60" s="19" t="inlineStr">
        <is>
          <t>Signal list; control responsibility matrix</t>
        </is>
      </c>
      <c r="E60" s="24" t="inlineStr">
        <is>
          <t>High</t>
        </is>
      </c>
      <c r="F60" s="21" t="inlineStr">
        <is>
          <t>C3</t>
        </is>
      </c>
      <c r="G60" s="22" t="n"/>
      <c r="H60" s="23" t="n"/>
      <c r="I60" s="23" t="n"/>
      <c r="J60" s="23" t="n"/>
      <c r="K60" s="23" t="n"/>
    </row>
    <row r="61" ht="46" customHeight="1">
      <c r="A61" s="18" t="inlineStr">
        <is>
          <t>D-12</t>
        </is>
      </c>
      <c r="B61" s="19" t="inlineStr">
        <is>
          <t>List the ammonia-specific safety devices in your scope: emergency shutdown valve locations and closing times, fire and gas mapping, and any water deluge or water curtain requirement.</t>
        </is>
      </c>
      <c r="C61" s="19" t="inlineStr">
        <is>
          <t>Defines the safety envelope we must build around the package.</t>
        </is>
      </c>
      <c r="D61" s="19" t="inlineStr">
        <is>
          <t>Safety device schedule; F&amp;G layout</t>
        </is>
      </c>
      <c r="E61" s="20" t="inlineStr">
        <is>
          <t>Critical</t>
        </is>
      </c>
      <c r="F61" s="21" t="inlineStr">
        <is>
          <t>C6</t>
        </is>
      </c>
      <c r="G61" s="22" t="n"/>
      <c r="H61" s="23" t="n"/>
      <c r="I61" s="23" t="n"/>
      <c r="J61" s="23" t="n"/>
      <c r="K61" s="23" t="n"/>
    </row>
    <row r="63" ht="22" customHeight="1">
      <c r="A63" s="16" t="inlineStr">
        <is>
          <t>E — Fuel transition, mode change &amp; loss of firing</t>
        </is>
      </c>
      <c r="B63" s="17" t="n"/>
      <c r="C63" s="17" t="n"/>
      <c r="D63" s="17" t="n"/>
      <c r="E63" s="17" t="n"/>
      <c r="F63" s="17" t="n"/>
      <c r="G63" s="17" t="n"/>
      <c r="H63" s="17" t="n"/>
      <c r="I63" s="17" t="n"/>
      <c r="J63" s="17" t="n"/>
      <c r="K63" s="17" t="n"/>
    </row>
    <row r="64" ht="46" customHeight="1">
      <c r="A64" s="18" t="inlineStr">
        <is>
          <t>E-01</t>
        </is>
      </c>
      <c r="B64" s="19" t="inlineStr">
        <is>
          <t>Define every operating mode (diesel-only, natural-gas-only, ammonia with pilot, maximum ammonia, back-up / limp mode) and provide the permitted transition map between them.</t>
        </is>
      </c>
      <c r="C64" s="19" t="inlineStr">
        <is>
          <t>Establishes the operating envelope we would actually be buying.</t>
        </is>
      </c>
      <c r="D64" s="19" t="inlineStr">
        <is>
          <t>Mode transition diagram</t>
        </is>
      </c>
      <c r="E64" s="20" t="inlineStr">
        <is>
          <t>Critical</t>
        </is>
      </c>
      <c r="F64" s="21" t="inlineStr">
        <is>
          <t>C3</t>
        </is>
      </c>
      <c r="G64" s="22" t="n"/>
      <c r="H64" s="23" t="n"/>
      <c r="I64" s="23" t="n"/>
      <c r="J64" s="23" t="n"/>
      <c r="K64" s="23" t="n"/>
    </row>
    <row r="65" ht="46" customHeight="1">
      <c r="A65" s="18" t="inlineStr">
        <is>
          <t>E-02</t>
        </is>
      </c>
      <c r="B65" s="19" t="inlineStr">
        <is>
          <t>Describe the transition from diesel or natural gas to ammonia step by step: the ammonia substitution ramp rate (%/min) and the total elapsed time to reach maximum ammonia share.</t>
        </is>
      </c>
      <c r="C65" s="19" t="inlineStr">
        <is>
          <t>Slow transitions cost fuel-switching flexibility and lengthen the fossil tail during every start.</t>
        </is>
      </c>
      <c r="D65" s="19" t="inlineStr">
        <is>
          <t>Transition sequence description with timings</t>
        </is>
      </c>
      <c r="E65" s="20" t="inlineStr">
        <is>
          <t>Critical</t>
        </is>
      </c>
      <c r="F65" s="21" t="inlineStr">
        <is>
          <t>C3</t>
        </is>
      </c>
      <c r="G65" s="22" t="n"/>
      <c r="H65" s="23" t="n"/>
      <c r="I65" s="23" t="n"/>
      <c r="J65" s="23" t="n"/>
      <c r="K65" s="23" t="n"/>
    </row>
    <row r="66" ht="46" customHeight="1">
      <c r="A66" s="18" t="inlineStr">
        <is>
          <t>E-03</t>
        </is>
      </c>
      <c r="B66" s="19" t="inlineStr">
        <is>
          <t>At which loads is a transition permitted? Is there a minimum and maximum load window for changeover, and is a dwell or soak period required before or after?</t>
        </is>
      </c>
      <c r="C66" s="19" t="inlineStr">
        <is>
          <t>A narrow transition window is a severe operational constraint that rarely appears in a data sheet.</t>
        </is>
      </c>
      <c r="D66" s="19" t="inlineStr">
        <is>
          <t>Transition permissive conditions</t>
        </is>
      </c>
      <c r="E66" s="20" t="inlineStr">
        <is>
          <t>Critical</t>
        </is>
      </c>
      <c r="F66" s="21" t="inlineStr">
        <is>
          <t>C3</t>
        </is>
      </c>
      <c r="G66" s="22" t="n"/>
      <c r="H66" s="23" t="n"/>
      <c r="I66" s="23" t="n"/>
      <c r="J66" s="23" t="n"/>
      <c r="K66" s="23" t="n"/>
    </row>
    <row r="67" ht="46" customHeight="1">
      <c r="A67" s="18" t="inlineStr">
        <is>
          <t>E-04</t>
        </is>
      </c>
      <c r="B67" s="19" t="inlineStr">
        <is>
          <t>State the measured electrical disturbance during a transition: active power swing (kW), frequency deviation, and duration. Must the unit be off-grid or at reduced load to transition?</t>
        </is>
      </c>
      <c r="C67" s="19" t="inlineStr">
        <is>
          <t>A transition that requires derating or islanding is commercially very different from a bumpless one.</t>
        </is>
      </c>
      <c r="D67" s="19" t="inlineStr">
        <is>
          <t>Grid-connected transition test traces</t>
        </is>
      </c>
      <c r="E67" s="20" t="inlineStr">
        <is>
          <t>Critical</t>
        </is>
      </c>
      <c r="F67" s="21" t="inlineStr">
        <is>
          <t>C3</t>
        </is>
      </c>
      <c r="G67" s="22" t="n"/>
      <c r="H67" s="23" t="n"/>
      <c r="I67" s="23" t="n"/>
      <c r="J67" s="23" t="n"/>
      <c r="K67" s="23" t="n"/>
    </row>
    <row r="68" ht="46" customHeight="1">
      <c r="A68" s="18" t="inlineStr">
        <is>
          <t>E-05</t>
        </is>
      </c>
      <c r="B68" s="19" t="inlineStr">
        <is>
          <t>LOSS OF FIRING DURING TRANSITION: from your test programme, what is the observed rate or probability of flame loss / misfire during a fuel transition? Describe the detection and recovery sequence and how long recovery takes.</t>
        </is>
      </c>
      <c r="C68" s="19" t="inlineStr">
        <is>
          <t>The user's core concern. Good = a stated, measured rate from a real test programme, not a qualitative reassurance.</t>
        </is>
      </c>
      <c r="D68" s="19" t="inlineStr">
        <is>
          <t>Transition test log with event counts</t>
        </is>
      </c>
      <c r="E68" s="20" t="inlineStr">
        <is>
          <t>Critical</t>
        </is>
      </c>
      <c r="F68" s="21" t="inlineStr">
        <is>
          <t>C3</t>
        </is>
      </c>
      <c r="G68" s="22" t="n"/>
      <c r="H68" s="23" t="n"/>
      <c r="I68" s="23" t="n"/>
      <c r="J68" s="23" t="n"/>
      <c r="K68" s="23" t="n"/>
    </row>
    <row r="69" ht="46" customHeight="1">
      <c r="A69" s="18" t="inlineStr">
        <is>
          <t>E-06</t>
        </is>
      </c>
      <c r="B69" s="19" t="inlineStr">
        <is>
          <t>Is the reversion from ammonia to pilot / back-up fuel automatic, bumpless and load-holding? How long does it take and how much load is lost? Will you guarantee this behaviour contractually?</t>
        </is>
      </c>
      <c r="C69" s="19" t="inlineStr">
        <is>
          <t>The single most valuable de-risking feature: a guaranteed automatic fallback turns a fuel risk into a fuel-cost risk.</t>
        </is>
      </c>
      <c r="D69" s="19" t="inlineStr">
        <is>
          <t>Reversion test traces; proposed guarantee wording</t>
        </is>
      </c>
      <c r="E69" s="20" t="inlineStr">
        <is>
          <t>Critical</t>
        </is>
      </c>
      <c r="F69" s="21" t="inlineStr">
        <is>
          <t>C3</t>
        </is>
      </c>
      <c r="G69" s="22" t="n"/>
      <c r="H69" s="23" t="n"/>
      <c r="I69" s="23" t="n"/>
      <c r="J69" s="23" t="n"/>
      <c r="K69" s="23" t="n"/>
    </row>
    <row r="70" ht="62" customHeight="1">
      <c r="A70" s="18" t="inlineStr">
        <is>
          <t>E-07</t>
        </is>
      </c>
      <c r="B70" s="19" t="inlineStr">
        <is>
          <t>For each of the following failures, state whether the engine trips, derates or reverts to back-up fuel, and how quickly: ammonia supply loss; ammonia pressure or temperature excursion; nitrogen loss; pilot fuel loss; after-treatment trip; reagent dosing fault; cooling loss; control system fault.</t>
        </is>
      </c>
      <c r="C70" s="19" t="inlineStr">
        <is>
          <t>This failure matrix is the honest measure of ammonia-mode availability.</t>
        </is>
      </c>
      <c r="D70" s="19" t="inlineStr">
        <is>
          <t>Cause and effect matrix; failure response table</t>
        </is>
      </c>
      <c r="E70" s="20" t="inlineStr">
        <is>
          <t>Critical</t>
        </is>
      </c>
      <c r="F70" s="21" t="inlineStr">
        <is>
          <t>C3</t>
        </is>
      </c>
      <c r="G70" s="22" t="n"/>
      <c r="H70" s="23" t="n"/>
      <c r="I70" s="23" t="n"/>
      <c r="J70" s="23" t="n"/>
      <c r="K70" s="23" t="n"/>
    </row>
    <row r="71" ht="30" customHeight="1">
      <c r="A71" s="18" t="inlineStr">
        <is>
          <t>E-08</t>
        </is>
      </c>
      <c r="B71" s="19" t="inlineStr">
        <is>
          <t>How many fuel transitions per day and per year are permitted, and what component-life penalty does each transition carry?</t>
        </is>
      </c>
      <c r="C71" s="19" t="inlineStr">
        <is>
          <t>Transition-limited operation constrains dispatch and adds hidden maintenance cost.</t>
        </is>
      </c>
      <c r="D71" s="19" t="inlineStr">
        <is>
          <t>Transition allowance and life-penalty statement</t>
        </is>
      </c>
      <c r="E71" s="24" t="inlineStr">
        <is>
          <t>High</t>
        </is>
      </c>
      <c r="F71" s="21" t="inlineStr">
        <is>
          <t>C3</t>
        </is>
      </c>
      <c r="G71" s="22" t="n"/>
      <c r="H71" s="23" t="n"/>
      <c r="I71" s="23" t="n"/>
      <c r="J71" s="23" t="n"/>
      <c r="K71" s="23" t="n"/>
    </row>
    <row r="72" ht="46" customHeight="1">
      <c r="A72" s="18" t="inlineStr">
        <is>
          <t>E-09</t>
        </is>
      </c>
      <c r="B72" s="19" t="inlineStr">
        <is>
          <t>Does a failed transition leave unburnt ammonia in the exhaust train? Describe the automatic purge sequence and its duration before a restart is permitted.</t>
        </is>
      </c>
      <c r="C72" s="19" t="inlineStr">
        <is>
          <t>Directly sets restart time after an aborted transition, and is a safety-critical interlock.</t>
        </is>
      </c>
      <c r="D72" s="19" t="inlineStr">
        <is>
          <t>Purge sequence description with durations</t>
        </is>
      </c>
      <c r="E72" s="20" t="inlineStr">
        <is>
          <t>Critical</t>
        </is>
      </c>
      <c r="F72" s="21" t="inlineStr">
        <is>
          <t>C3</t>
        </is>
      </c>
      <c r="G72" s="22" t="n"/>
      <c r="H72" s="23" t="n"/>
      <c r="I72" s="23" t="n"/>
      <c r="J72" s="23" t="n"/>
      <c r="K72" s="23" t="n"/>
    </row>
    <row r="73" ht="30" customHeight="1">
      <c r="A73" s="18" t="inlineStr">
        <is>
          <t>E-10</t>
        </is>
      </c>
      <c r="B73" s="19" t="inlineStr">
        <is>
          <t>After an ammonia trip, how long is the mandatory cool-down and purge before restart, and how long to return to full ammonia operation?</t>
        </is>
      </c>
      <c r="C73" s="19" t="inlineStr">
        <is>
          <t>Sets real availability after any ammonia-side upset.</t>
        </is>
      </c>
      <c r="D73" s="19" t="inlineStr">
        <is>
          <t>Restart sequence timeline</t>
        </is>
      </c>
      <c r="E73" s="20" t="inlineStr">
        <is>
          <t>Critical</t>
        </is>
      </c>
      <c r="F73" s="21" t="inlineStr">
        <is>
          <t>C3</t>
        </is>
      </c>
      <c r="G73" s="22" t="n"/>
      <c r="H73" s="23" t="n"/>
      <c r="I73" s="23" t="n"/>
      <c r="J73" s="23" t="n"/>
      <c r="K73" s="23" t="n"/>
    </row>
    <row r="74" ht="30" customHeight="1">
      <c r="A74" s="18" t="inlineStr">
        <is>
          <t>E-11</t>
        </is>
      </c>
      <c r="B74" s="19" t="inlineStr">
        <is>
          <t>Is the unit black-start capable, and on which fuel? State time to full load, and whether ammonia mode can be reached without external power or steam.</t>
        </is>
      </c>
      <c r="C74" s="19" t="inlineStr">
        <is>
          <t>Black start on pilot fuel only is normal; the question is whether ammonia mode is reachable unaided.</t>
        </is>
      </c>
      <c r="D74" s="19" t="inlineStr">
        <is>
          <t>Black start capability statement</t>
        </is>
      </c>
      <c r="E74" s="24" t="inlineStr">
        <is>
          <t>High</t>
        </is>
      </c>
      <c r="F74" s="21" t="inlineStr">
        <is>
          <t>C4</t>
        </is>
      </c>
      <c r="G74" s="22" t="n"/>
      <c r="H74" s="23" t="n"/>
      <c r="I74" s="23" t="n"/>
      <c r="J74" s="23" t="n"/>
      <c r="K74" s="23" t="n"/>
    </row>
    <row r="75" ht="30" customHeight="1">
      <c r="A75" s="18" t="inlineStr">
        <is>
          <t>E-12</t>
        </is>
      </c>
      <c r="B75" s="19" t="inlineStr">
        <is>
          <t>Is a transition fully automatic and single-command, or a supervised operator sequence? State the operator competency assumed.</t>
        </is>
      </c>
      <c r="C75" s="19" t="inlineStr">
        <is>
          <t>Manual transitions raise human-error exposure on a toxic fuel.</t>
        </is>
      </c>
      <c r="D75" s="19" t="inlineStr">
        <is>
          <t>Operating procedure extract</t>
        </is>
      </c>
      <c r="E75" s="24" t="inlineStr">
        <is>
          <t>High</t>
        </is>
      </c>
      <c r="F75" s="21" t="inlineStr">
        <is>
          <t>C3</t>
        </is>
      </c>
      <c r="G75" s="22" t="n"/>
      <c r="H75" s="23" t="n"/>
      <c r="I75" s="23" t="n"/>
      <c r="J75" s="23" t="n"/>
      <c r="K75" s="23" t="n"/>
    </row>
    <row r="77" ht="22" customHeight="1">
      <c r="A77" s="16" t="inlineStr">
        <is>
          <t>F — Efficiency &amp; performance</t>
        </is>
      </c>
      <c r="B77" s="17" t="n"/>
      <c r="C77" s="17" t="n"/>
      <c r="D77" s="17" t="n"/>
      <c r="E77" s="17" t="n"/>
      <c r="F77" s="17" t="n"/>
      <c r="G77" s="17" t="n"/>
      <c r="H77" s="17" t="n"/>
      <c r="I77" s="17" t="n"/>
      <c r="J77" s="17" t="n"/>
      <c r="K77" s="17" t="n"/>
    </row>
    <row r="78" ht="46" customHeight="1">
      <c r="A78" s="18" t="inlineStr">
        <is>
          <t>F-01</t>
        </is>
      </c>
      <c r="B78" s="19" t="inlineStr">
        <is>
          <t>Give guaranteed net electrical efficiency (% LHV) and net heat rate (kJ/kWh) on ammonia at 100 / 75 / 50 / 25 % load, at site ambient, measured at the generator terminals, with the tolerance band.</t>
        </is>
      </c>
      <c r="C78" s="19" t="inlineStr">
        <is>
          <t>The commercial core of the offer. Note the difference between a catalogue figure and a guaranteed figure at site conditions.</t>
        </is>
      </c>
      <c r="D78" s="19" t="inlineStr">
        <is>
          <t>Guarantee schedule with correction curves</t>
        </is>
      </c>
      <c r="E78" s="20" t="inlineStr">
        <is>
          <t>Critical</t>
        </is>
      </c>
      <c r="F78" s="21" t="inlineStr">
        <is>
          <t>C4</t>
        </is>
      </c>
      <c r="G78" s="22" t="n"/>
      <c r="H78" s="23" t="n"/>
      <c r="I78" s="23" t="n"/>
      <c r="J78" s="23" t="n"/>
      <c r="K78" s="23" t="n"/>
    </row>
    <row r="79" ht="30" customHeight="1">
      <c r="A79" s="18" t="inlineStr">
        <is>
          <t>F-02</t>
        </is>
      </c>
      <c r="B79" s="19" t="inlineStr">
        <is>
          <t>Give specific fuel consumption in kg ammonia per kWh and kg pilot fuel per kWh at each load point.</t>
        </is>
      </c>
      <c r="C79" s="19" t="inlineStr">
        <is>
          <t>Converts efficiency into the ammonia offtake volume that drives the whole upstream chain.</t>
        </is>
      </c>
      <c r="D79" s="19" t="inlineStr">
        <is>
          <t>SFC table at four load points</t>
        </is>
      </c>
      <c r="E79" s="20" t="inlineStr">
        <is>
          <t>Critical</t>
        </is>
      </c>
      <c r="F79" s="21" t="inlineStr">
        <is>
          <t>C4</t>
        </is>
      </c>
      <c r="G79" s="22" t="n"/>
      <c r="H79" s="23" t="n"/>
      <c r="I79" s="23" t="n"/>
      <c r="J79" s="23" t="n"/>
      <c r="K79" s="23" t="n"/>
    </row>
    <row r="80" ht="46" customHeight="1">
      <c r="A80" s="18" t="inlineStr">
        <is>
          <t>F-03</t>
        </is>
      </c>
      <c r="B80" s="19" t="inlineStr">
        <is>
          <t>Provide the performance degradation curve — efficiency and output loss versus operating hours between overhauls — and state whether a degradation cap is guaranteed.</t>
        </is>
      </c>
      <c r="C80" s="19" t="inlineStr">
        <is>
          <t>Degradation on ammonia may exceed the natural-gas baseline because of deposits and injector wear.</t>
        </is>
      </c>
      <c r="D80" s="19" t="inlineStr">
        <is>
          <t>Degradation curve; guarantee wording</t>
        </is>
      </c>
      <c r="E80" s="24" t="inlineStr">
        <is>
          <t>High</t>
        </is>
      </c>
      <c r="F80" s="21" t="inlineStr">
        <is>
          <t>C4</t>
        </is>
      </c>
      <c r="G80" s="22" t="n"/>
      <c r="H80" s="23" t="n"/>
      <c r="I80" s="23" t="n"/>
      <c r="J80" s="23" t="n"/>
      <c r="K80" s="23" t="n"/>
    </row>
    <row r="81" ht="30" customHeight="1">
      <c r="A81" s="18" t="inlineStr">
        <is>
          <t>F-04</t>
        </is>
      </c>
      <c r="B81" s="19" t="inlineStr">
        <is>
          <t>Compare the part-load efficiency curve on ammonia with the same engine on natural gas, and quantify the ammonia penalty at each load point.</t>
        </is>
      </c>
      <c r="C81" s="19" t="inlineStr">
        <is>
          <t>Flat part-load efficiency is the reciprocating engine's structural advantage; confirm ammonia preserves it.</t>
        </is>
      </c>
      <c r="D81" s="19" t="inlineStr">
        <is>
          <t>Comparative part-load curves</t>
        </is>
      </c>
      <c r="E81" s="24" t="inlineStr">
        <is>
          <t>High</t>
        </is>
      </c>
      <c r="F81" s="21" t="inlineStr">
        <is>
          <t>C4</t>
        </is>
      </c>
      <c r="G81" s="22" t="n"/>
      <c r="H81" s="23" t="n"/>
      <c r="I81" s="23" t="n"/>
      <c r="J81" s="23" t="n"/>
      <c r="K81" s="23" t="n"/>
    </row>
    <row r="82" ht="30" customHeight="1">
      <c r="A82" s="18" t="inlineStr">
        <is>
          <t>F-05</t>
        </is>
      </c>
      <c r="B82" s="19" t="inlineStr">
        <is>
          <t>Provide power and efficiency derate versus ambient temperature over 25-38 degC and versus relative humidity.</t>
        </is>
      </c>
      <c r="C82" s="19" t="inlineStr">
        <is>
          <t>Johor / Singapore ambient sits well above ISO; engines are less ambient-sensitive than turbines but not immune.</t>
        </is>
      </c>
      <c r="D82" s="19" t="inlineStr">
        <is>
          <t>Ambient correction curves</t>
        </is>
      </c>
      <c r="E82" s="20" t="inlineStr">
        <is>
          <t>Critical</t>
        </is>
      </c>
      <c r="F82" s="21" t="inlineStr">
        <is>
          <t>C4</t>
        </is>
      </c>
      <c r="G82" s="22" t="n"/>
      <c r="H82" s="23" t="n"/>
      <c r="I82" s="23" t="n"/>
      <c r="J82" s="23" t="n"/>
      <c r="K82" s="23" t="n"/>
    </row>
    <row r="83" ht="46" customHeight="1">
      <c r="A83" s="18" t="inlineStr">
        <is>
          <t>F-06</t>
        </is>
      </c>
      <c r="B83" s="19" t="inlineStr">
        <is>
          <t>State step load acceptance (% of rating in a single step) on ammonia and on pilot fuel, with frequency recovery time, referenced to ISO 8528-5 performance class.</t>
        </is>
      </c>
      <c r="C83" s="19" t="inlineStr">
        <is>
          <t>Ammonia's slow flame speed can degrade transient response versus the natural-gas parent.</t>
        </is>
      </c>
      <c r="D83" s="19" t="inlineStr">
        <is>
          <t>ISO 8528-5 class statement; transient test traces</t>
        </is>
      </c>
      <c r="E83" s="20" t="inlineStr">
        <is>
          <t>Critical</t>
        </is>
      </c>
      <c r="F83" s="21" t="inlineStr">
        <is>
          <t>C4</t>
        </is>
      </c>
      <c r="G83" s="22" t="n"/>
      <c r="H83" s="23" t="n"/>
      <c r="I83" s="23" t="n"/>
      <c r="J83" s="23" t="n"/>
      <c r="K83" s="23" t="n"/>
    </row>
    <row r="84" ht="30" customHeight="1">
      <c r="A84" s="18" t="inlineStr">
        <is>
          <t>F-07</t>
        </is>
      </c>
      <c r="B84" s="19" t="inlineStr">
        <is>
          <t>State the ramp rate up and down (MW/min) on ammonia and on pilot fuel.</t>
        </is>
      </c>
      <c r="C84" s="19" t="inlineStr">
        <is>
          <t>Sets the plant's dispatch value.</t>
        </is>
      </c>
      <c r="D84" s="19" t="inlineStr">
        <is>
          <t>Ramp rate test data</t>
        </is>
      </c>
      <c r="E84" s="24" t="inlineStr">
        <is>
          <t>High</t>
        </is>
      </c>
      <c r="F84" s="21" t="inlineStr">
        <is>
          <t>C4</t>
        </is>
      </c>
      <c r="G84" s="22" t="n"/>
      <c r="H84" s="23" t="n"/>
      <c r="I84" s="23" t="n"/>
      <c r="J84" s="23" t="n"/>
      <c r="K84" s="23" t="n"/>
    </row>
    <row r="85" ht="30" customHeight="1">
      <c r="A85" s="18" t="inlineStr">
        <is>
          <t>F-08</t>
        </is>
      </c>
      <c r="B85" s="19" t="inlineStr">
        <is>
          <t>State start time from cold, warm and hot to full load, on each fuel.</t>
        </is>
      </c>
      <c r="C85" s="19" t="inlineStr">
        <is>
          <t>Fast start is a claimed engine advantage; verify it survives the ammonia fuel train's purge and leak-test sequence.</t>
        </is>
      </c>
      <c r="D85" s="19" t="inlineStr">
        <is>
          <t>Start sequence timings</t>
        </is>
      </c>
      <c r="E85" s="24" t="inlineStr">
        <is>
          <t>High</t>
        </is>
      </c>
      <c r="F85" s="21" t="inlineStr">
        <is>
          <t>C4</t>
        </is>
      </c>
      <c r="G85" s="22" t="n"/>
      <c r="H85" s="23" t="n"/>
      <c r="I85" s="23" t="n"/>
      <c r="J85" s="23" t="n"/>
      <c r="K85" s="23" t="n"/>
    </row>
    <row r="86" ht="30" customHeight="1">
      <c r="A86" s="18" t="inlineStr">
        <is>
          <t>F-09</t>
        </is>
      </c>
      <c r="B86" s="19" t="inlineStr">
        <is>
          <t>Quantify recoverable heat (jacket water and exhaust): grade, temperature and quantity. Can it feed an ammonia vaporiser or a partial cracker?</t>
        </is>
      </c>
      <c r="C86" s="19" t="inlineStr">
        <is>
          <t>Heat integration can materially raise plant efficiency and cut the vaporiser's parasitic load.</t>
        </is>
      </c>
      <c r="D86" s="19" t="inlineStr">
        <is>
          <t>Heat recovery data sheet</t>
        </is>
      </c>
      <c r="E86" s="24" t="inlineStr">
        <is>
          <t>High</t>
        </is>
      </c>
      <c r="F86" s="21" t="inlineStr">
        <is>
          <t>C4</t>
        </is>
      </c>
      <c r="G86" s="22" t="n"/>
      <c r="H86" s="23" t="n"/>
      <c r="I86" s="23" t="n"/>
      <c r="J86" s="23" t="n"/>
      <c r="K86" s="23" t="n"/>
    </row>
    <row r="87" ht="46" customHeight="1">
      <c r="A87" s="18" t="inlineStr">
        <is>
          <t>F-10</t>
        </is>
      </c>
      <c r="B87" s="19" t="inlineStr">
        <is>
          <t>State the auxiliary and parasitic power of the complete ammonia package (fuel skid, N2 generation, SCR blower, dosing, vent scrubber) as a percentage of gross output.</t>
        </is>
      </c>
      <c r="C87" s="19" t="inlineStr">
        <is>
          <t>Ammonia packages have larger parasitics than natural-gas packages; net output is what matters.</t>
        </is>
      </c>
      <c r="D87" s="19" t="inlineStr">
        <is>
          <t>Auxiliary load list</t>
        </is>
      </c>
      <c r="E87" s="20" t="inlineStr">
        <is>
          <t>Critical</t>
        </is>
      </c>
      <c r="F87" s="21" t="inlineStr">
        <is>
          <t>C4</t>
        </is>
      </c>
      <c r="G87" s="22" t="n"/>
      <c r="H87" s="23" t="n"/>
      <c r="I87" s="23" t="n"/>
      <c r="J87" s="23" t="n"/>
      <c r="K87" s="23" t="n"/>
    </row>
    <row r="89" ht="22" customHeight="1">
      <c r="A89" s="16" t="inlineStr">
        <is>
          <t>G — Emissions &amp; after-treatment</t>
        </is>
      </c>
      <c r="B89" s="17" t="n"/>
      <c r="C89" s="17" t="n"/>
      <c r="D89" s="17" t="n"/>
      <c r="E89" s="17" t="n"/>
      <c r="F89" s="17" t="n"/>
      <c r="G89" s="17" t="n"/>
      <c r="H89" s="17" t="n"/>
      <c r="I89" s="17" t="n"/>
      <c r="J89" s="17" t="n"/>
      <c r="K89" s="17" t="n"/>
    </row>
    <row r="90" ht="46" customHeight="1">
      <c r="A90" s="18" t="inlineStr">
        <is>
          <t>G-01</t>
        </is>
      </c>
      <c r="B90" s="19" t="inlineStr">
        <is>
          <t>Give MEASURED engine-out (raw) NOx, N2O, ammonia slip, CO and unburnt hydrocarbons at 100 / 75 / 50 / 25 % load at maximum ammonia share. State units and the reference oxygen basis.</t>
        </is>
      </c>
      <c r="C90" s="19" t="inlineStr">
        <is>
          <t>Raw emissions reveal the true quality of the combustion system, before after-treatment masks it.</t>
        </is>
      </c>
      <c r="D90" s="19" t="inlineStr">
        <is>
          <t>Measured emissions test report with O2 reference</t>
        </is>
      </c>
      <c r="E90" s="20" t="inlineStr">
        <is>
          <t>Critical</t>
        </is>
      </c>
      <c r="F90" s="21" t="inlineStr">
        <is>
          <t>C5</t>
        </is>
      </c>
      <c r="G90" s="22" t="n"/>
      <c r="H90" s="23" t="n"/>
      <c r="I90" s="23" t="n"/>
      <c r="J90" s="23" t="n"/>
      <c r="K90" s="23" t="n"/>
    </row>
    <row r="91" ht="46" customHeight="1">
      <c r="A91" s="18" t="inlineStr">
        <is>
          <t>G-02</t>
        </is>
      </c>
      <c r="B91" s="19" t="inlineStr">
        <is>
          <t>Give the guaranteed post-treatment values for the same species, and describe the after-treatment configuration (SCR, ammonia oxidation / slip catalyst, dedicated N2O catalyst, oxidation catalyst).</t>
        </is>
      </c>
      <c r="C91" s="19" t="inlineStr">
        <is>
          <t>Published work indicates an ammonia engine typically needs three catalyst beds where a turbine can use combustor staging plus DeNOx — confirm the actual configuration.</t>
        </is>
      </c>
      <c r="D91" s="19" t="inlineStr">
        <is>
          <t>After-treatment configuration; guarantee schedule</t>
        </is>
      </c>
      <c r="E91" s="20" t="inlineStr">
        <is>
          <t>Critical</t>
        </is>
      </c>
      <c r="F91" s="21" t="inlineStr">
        <is>
          <t>C5</t>
        </is>
      </c>
      <c r="G91" s="22" t="n"/>
      <c r="H91" s="23" t="n"/>
      <c r="I91" s="23" t="n"/>
      <c r="J91" s="23" t="n"/>
      <c r="K91" s="23" t="n"/>
    </row>
    <row r="92" ht="46" customHeight="1">
      <c r="A92" s="18" t="inlineStr">
        <is>
          <t>G-03</t>
        </is>
      </c>
      <c r="B92" s="19" t="inlineStr">
        <is>
          <t>Is a DEDICATED N2O catalyst included in your scope? State its N2O reduction efficiency, the exhaust temperature window in which it is active, and its measured performance over life.</t>
        </is>
      </c>
      <c r="C92" s="19" t="inlineStr">
        <is>
          <t>N2O has a 100-year GWP around 273 times CO2, so untreated N2O can erase the ammonia GHG benefit. Published test-engine data indicates roughly 20 ppm untreated, falling to a few ppm with a catalyst.</t>
        </is>
      </c>
      <c r="D92" s="19" t="inlineStr">
        <is>
          <t>N2O catalyst data sheet; measured reduction data</t>
        </is>
      </c>
      <c r="E92" s="20" t="inlineStr">
        <is>
          <t>Critical</t>
        </is>
      </c>
      <c r="F92" s="21" t="inlineStr">
        <is>
          <t>C5</t>
        </is>
      </c>
      <c r="G92" s="22" t="n"/>
      <c r="H92" s="23" t="n"/>
      <c r="I92" s="23" t="n"/>
      <c r="J92" s="23" t="n"/>
      <c r="K92" s="23" t="n"/>
    </row>
    <row r="93" ht="46" customHeight="1">
      <c r="A93" s="18" t="inlineStr">
        <is>
          <t>G-04</t>
        </is>
      </c>
      <c r="B93" s="19" t="inlineStr">
        <is>
          <t>State the total greenhouse gas reduction (CO2e, including N2O and ammonia slip) versus an equivalent diesel or natural gas engine, on a stated basis, and show the calculation.</t>
        </is>
      </c>
      <c r="C93" s="19" t="inlineStr">
        <is>
          <t>In-service marine data and OEM claims cluster around a 90-94 % GHG cut at roughly 95 % ammonia energy share — verify against this OEM's own numbers and basis.</t>
        </is>
      </c>
      <c r="D93" s="19" t="inlineStr">
        <is>
          <t>GHG calculation with assumptions stated</t>
        </is>
      </c>
      <c r="E93" s="20" t="inlineStr">
        <is>
          <t>Critical</t>
        </is>
      </c>
      <c r="F93" s="21" t="inlineStr">
        <is>
          <t>C5</t>
        </is>
      </c>
      <c r="G93" s="22" t="n"/>
      <c r="H93" s="23" t="n"/>
      <c r="I93" s="23" t="n"/>
      <c r="J93" s="23" t="n"/>
      <c r="K93" s="23" t="n"/>
    </row>
    <row r="94" ht="30" customHeight="1">
      <c r="A94" s="18" t="inlineStr">
        <is>
          <t>G-05</t>
        </is>
      </c>
      <c r="B94" s="19" t="inlineStr">
        <is>
          <t>Give catalyst volumes, expected life in operating hours, replacement cost, reagent consumption, and sensitivity to sulphur and lube-oil ash.</t>
        </is>
      </c>
      <c r="C94" s="19" t="inlineStr">
        <is>
          <t>Catalyst replacement is a large and often-omitted lifecycle cost on ammonia engines.</t>
        </is>
      </c>
      <c r="D94" s="19" t="inlineStr">
        <is>
          <t>Catalyst life and cost schedule</t>
        </is>
      </c>
      <c r="E94" s="24" t="inlineStr">
        <is>
          <t>High</t>
        </is>
      </c>
      <c r="F94" s="21" t="inlineStr">
        <is>
          <t>C9</t>
        </is>
      </c>
      <c r="G94" s="22" t="n"/>
      <c r="H94" s="23" t="n"/>
      <c r="I94" s="23" t="n"/>
      <c r="J94" s="23" t="n"/>
      <c r="K94" s="23" t="n"/>
    </row>
    <row r="95" ht="46" customHeight="1">
      <c r="A95" s="18" t="inlineStr">
        <is>
          <t>G-06</t>
        </is>
      </c>
      <c r="B95" s="19" t="inlineStr">
        <is>
          <t>State the exhaust temperature window required for SCR and N2O catalyst activity. Is it met at 25 % load, during start-up and during fuel transitions? If not, state the emissions during those excluded periods.</t>
        </is>
      </c>
      <c r="C95" s="19" t="inlineStr">
        <is>
          <t>The gap between 'guaranteed at 100 % load' and 'compliant at all times' is where permits are lost.</t>
        </is>
      </c>
      <c r="D95" s="19" t="inlineStr">
        <is>
          <t>Exhaust temperature vs. load; excluded-period emissions</t>
        </is>
      </c>
      <c r="E95" s="20" t="inlineStr">
        <is>
          <t>Critical</t>
        </is>
      </c>
      <c r="F95" s="21" t="inlineStr">
        <is>
          <t>C5</t>
        </is>
      </c>
      <c r="G95" s="22" t="n"/>
      <c r="H95" s="23" t="n"/>
      <c r="I95" s="23" t="n"/>
      <c r="J95" s="23" t="n"/>
      <c r="K95" s="23" t="n"/>
    </row>
    <row r="96" ht="30" customHeight="1">
      <c r="A96" s="18" t="inlineStr">
        <is>
          <t>G-07</t>
        </is>
      </c>
      <c r="B96" s="19" t="inlineStr">
        <is>
          <t>Quantify emissions during transitions and during start and stop, when after-treatment is not at operating temperature.</t>
        </is>
      </c>
      <c r="C96" s="19" t="inlineStr">
        <is>
          <t>These periods dominate the toxic-release and slip risk profile.</t>
        </is>
      </c>
      <c r="D96" s="19" t="inlineStr">
        <is>
          <t>Transient emissions test data</t>
        </is>
      </c>
      <c r="E96" s="20" t="inlineStr">
        <is>
          <t>Critical</t>
        </is>
      </c>
      <c r="F96" s="21" t="inlineStr">
        <is>
          <t>C5</t>
        </is>
      </c>
      <c r="G96" s="22" t="n"/>
      <c r="H96" s="23" t="n"/>
      <c r="I96" s="23" t="n"/>
      <c r="J96" s="23" t="n"/>
      <c r="K96" s="23" t="n"/>
    </row>
    <row r="97" ht="46" customHeight="1">
      <c r="A97" s="18" t="inlineStr">
        <is>
          <t>G-08</t>
        </is>
      </c>
      <c r="B97" s="19" t="inlineStr">
        <is>
          <t>Will you guarantee the after-treated emissions contractually, and against which standard — Singapore NEA, Malaysia DOE, World Bank / IFC EHS guidelines, IMO Tier III? Which limit set have you actually demonstrated?</t>
        </is>
      </c>
      <c r="C97" s="19" t="inlineStr">
        <is>
          <t>Regulatory acceptance in Singapore and Johor is a project-level gate, not an engine detail.</t>
        </is>
      </c>
      <c r="D97" s="19" t="inlineStr">
        <is>
          <t>Emissions guarantee; demonstrated compliance evidence</t>
        </is>
      </c>
      <c r="E97" s="20" t="inlineStr">
        <is>
          <t>Critical</t>
        </is>
      </c>
      <c r="F97" s="21" t="inlineStr">
        <is>
          <t>C5</t>
        </is>
      </c>
      <c r="G97" s="22" t="n"/>
      <c r="H97" s="23" t="n"/>
      <c r="I97" s="23" t="n"/>
      <c r="J97" s="23" t="n"/>
      <c r="K97" s="23" t="n"/>
    </row>
    <row r="98" ht="46" customHeight="1">
      <c r="A98" s="18" t="inlineStr">
        <is>
          <t>G-09</t>
        </is>
      </c>
      <c r="B98" s="19" t="inlineStr">
        <is>
          <t>Define the continuous emissions monitoring scope: which species are monitored continuously, who supplies and calibrates the CEMS, and is ammonia slip included?</t>
        </is>
      </c>
      <c r="C98" s="19" t="inlineStr">
        <is>
          <t>Ammonia slip monitoring is frequently omitted and is exactly what a regulator will ask for.</t>
        </is>
      </c>
      <c r="D98" s="19" t="inlineStr">
        <is>
          <t>CEMS scope and specification</t>
        </is>
      </c>
      <c r="E98" s="24" t="inlineStr">
        <is>
          <t>High</t>
        </is>
      </c>
      <c r="F98" s="21" t="inlineStr">
        <is>
          <t>C5</t>
        </is>
      </c>
      <c r="G98" s="22" t="n"/>
      <c r="H98" s="23" t="n"/>
      <c r="I98" s="23" t="n"/>
      <c r="J98" s="23" t="n"/>
      <c r="K98" s="23" t="n"/>
    </row>
    <row r="99" ht="30" customHeight="1">
      <c r="A99" s="18" t="inlineStr">
        <is>
          <t>G-10</t>
        </is>
      </c>
      <c r="B99" s="19" t="inlineStr">
        <is>
          <t>How do the emissions guarantees change if ammonia fuel quality, ambient conditions or the load profile deviate from the design case?</t>
        </is>
      </c>
      <c r="C99" s="19" t="inlineStr">
        <is>
          <t>Defines how robust the guarantee is to real operation.</t>
        </is>
      </c>
      <c r="D99" s="19" t="inlineStr">
        <is>
          <t>Guarantee conditions and correction basis</t>
        </is>
      </c>
      <c r="E99" s="24" t="inlineStr">
        <is>
          <t>High</t>
        </is>
      </c>
      <c r="F99" s="21" t="inlineStr">
        <is>
          <t>C5</t>
        </is>
      </c>
      <c r="G99" s="22" t="n"/>
      <c r="H99" s="23" t="n"/>
      <c r="I99" s="23" t="n"/>
      <c r="J99" s="23" t="n"/>
      <c r="K99" s="23" t="n"/>
    </row>
    <row r="101" ht="22" customHeight="1">
      <c r="A101" s="16" t="inlineStr">
        <is>
          <t>H — Safety, toxicity, codes &amp; approvals</t>
        </is>
      </c>
      <c r="B101" s="17" t="n"/>
      <c r="C101" s="17" t="n"/>
      <c r="D101" s="17" t="n"/>
      <c r="E101" s="17" t="n"/>
      <c r="F101" s="17" t="n"/>
      <c r="G101" s="17" t="n"/>
      <c r="H101" s="17" t="n"/>
      <c r="I101" s="17" t="n"/>
      <c r="J101" s="17" t="n"/>
      <c r="K101" s="17" t="n"/>
    </row>
    <row r="102" ht="46" customHeight="1">
      <c r="A102" s="18" t="inlineStr">
        <is>
          <t>H-01</t>
        </is>
      </c>
      <c r="B102" s="19" t="inlineStr">
        <is>
          <t>List every code and standard the ammonia package complies with, covering the engine, the fuel system, hazardous area classification and functional safety.</t>
        </is>
      </c>
      <c r="C102" s="19" t="inlineStr">
        <is>
          <t>Ammonia stationary power has no single settled code set; the OEM's chosen basis must be explicit.</t>
        </is>
      </c>
      <c r="D102" s="19" t="inlineStr">
        <is>
          <t>Code compliance matrix</t>
        </is>
      </c>
      <c r="E102" s="20" t="inlineStr">
        <is>
          <t>Critical</t>
        </is>
      </c>
      <c r="F102" s="21" t="inlineStr">
        <is>
          <t>C6</t>
        </is>
      </c>
      <c r="G102" s="22" t="n"/>
      <c r="H102" s="23" t="n"/>
      <c r="I102" s="23" t="n"/>
      <c r="J102" s="23" t="n"/>
      <c r="K102" s="23" t="n"/>
    </row>
    <row r="103" ht="46" customHeight="1">
      <c r="A103" s="18" t="inlineStr">
        <is>
          <t>H-02</t>
        </is>
      </c>
      <c r="B103" s="19" t="inlineStr">
        <is>
          <t>Ammonia is regulated on a toxicity basis as well as a flammability basis. State the hazardous area classification applied, the ppm exposure design basis, and the required separation from occupied areas and air intakes.</t>
        </is>
      </c>
      <c r="C103" s="19" t="inlineStr">
        <is>
          <t>Toxicity, not flammability, usually drives ammonia plant layout and manning.</t>
        </is>
      </c>
      <c r="D103" s="19" t="inlineStr">
        <is>
          <t>Hazardous area drawings; toxicity design basis</t>
        </is>
      </c>
      <c r="E103" s="20" t="inlineStr">
        <is>
          <t>Critical</t>
        </is>
      </c>
      <c r="F103" s="21" t="inlineStr">
        <is>
          <t>C6</t>
        </is>
      </c>
      <c r="G103" s="22" t="n"/>
      <c r="H103" s="23" t="n"/>
      <c r="I103" s="23" t="n"/>
      <c r="J103" s="23" t="n"/>
      <c r="K103" s="23" t="n"/>
    </row>
    <row r="104" ht="30" customHeight="1">
      <c r="A104" s="18" t="inlineStr">
        <is>
          <t>H-03</t>
        </is>
      </c>
      <c r="B104" s="19" t="inlineStr">
        <is>
          <t>Have you completed a HAZID, HAZOP and QRA on the ammonia package? Will you release the reports and the action close-out register?</t>
        </is>
      </c>
      <c r="C104" s="19" t="inlineStr">
        <is>
          <t>A closed-out HAZOP on the actual package is the strongest single safety-maturity indicator.</t>
        </is>
      </c>
      <c r="D104" s="19" t="inlineStr">
        <is>
          <t>HAZID/HAZOP/QRA reports; action register</t>
        </is>
      </c>
      <c r="E104" s="20" t="inlineStr">
        <is>
          <t>Critical</t>
        </is>
      </c>
      <c r="F104" s="21" t="inlineStr">
        <is>
          <t>C6</t>
        </is>
      </c>
      <c r="G104" s="22" t="n"/>
      <c r="H104" s="23" t="n"/>
      <c r="I104" s="23" t="n"/>
      <c r="J104" s="23" t="n"/>
      <c r="K104" s="23" t="n"/>
    </row>
    <row r="105" ht="30" customHeight="1">
      <c r="A105" s="18" t="inlineStr">
        <is>
          <t>H-04</t>
        </is>
      </c>
      <c r="B105" s="19" t="inlineStr">
        <is>
          <t>State the SIL rating of the ammonia safety shutdown functions and provide the assessment behind it.</t>
        </is>
      </c>
      <c r="C105" s="19" t="inlineStr">
        <is>
          <t>Functional safety rigour separates a productised system from a prototype.</t>
        </is>
      </c>
      <c r="D105" s="19" t="inlineStr">
        <is>
          <t>SIL determination and verification report</t>
        </is>
      </c>
      <c r="E105" s="20" t="inlineStr">
        <is>
          <t>Critical</t>
        </is>
      </c>
      <c r="F105" s="21" t="inlineStr">
        <is>
          <t>C6</t>
        </is>
      </c>
      <c r="G105" s="22" t="n"/>
      <c r="H105" s="23" t="n"/>
      <c r="I105" s="23" t="n"/>
      <c r="J105" s="23" t="n"/>
      <c r="K105" s="23" t="n"/>
    </row>
    <row r="106" ht="46" customHeight="1">
      <c r="A106" s="18" t="inlineStr">
        <is>
          <t>H-05</t>
        </is>
      </c>
      <c r="B106" s="19" t="inlineStr">
        <is>
          <t>List the release mitigation systems in your scope (leak capture, water curtain, absorber, ventilation rate) and state the residual release scenario and quantity the plant must be designed around.</t>
        </is>
      </c>
      <c r="C106" s="19" t="inlineStr">
        <is>
          <t>We must design the surrounding plant for what the OEM cannot contain.</t>
        </is>
      </c>
      <c r="D106" s="19" t="inlineStr">
        <is>
          <t>Release scenario definition; mitigation description</t>
        </is>
      </c>
      <c r="E106" s="20" t="inlineStr">
        <is>
          <t>Critical</t>
        </is>
      </c>
      <c r="F106" s="21" t="inlineStr">
        <is>
          <t>C6</t>
        </is>
      </c>
      <c r="G106" s="22" t="n"/>
      <c r="H106" s="23" t="n"/>
      <c r="I106" s="23" t="n"/>
      <c r="J106" s="23" t="n"/>
      <c r="K106" s="23" t="n"/>
    </row>
    <row r="107" ht="30" customHeight="1">
      <c r="A107" s="18" t="inlineStr">
        <is>
          <t>H-06</t>
        </is>
      </c>
      <c r="B107" s="19" t="inlineStr">
        <is>
          <t>State PPE, gas detection, escape set and manning requirements, and any restriction on manned operation of the engine hall during ammonia operation.</t>
        </is>
      </c>
      <c r="C107" s="19" t="inlineStr">
        <is>
          <t>Directly affects operating cost and the O&amp;M model.</t>
        </is>
      </c>
      <c r="D107" s="19" t="inlineStr">
        <is>
          <t>Operating restrictions statement</t>
        </is>
      </c>
      <c r="E107" s="24" t="inlineStr">
        <is>
          <t>High</t>
        </is>
      </c>
      <c r="F107" s="21" t="inlineStr">
        <is>
          <t>C6</t>
        </is>
      </c>
      <c r="G107" s="22" t="n"/>
      <c r="H107" s="23" t="n"/>
      <c r="I107" s="23" t="n"/>
      <c r="J107" s="23" t="n"/>
      <c r="K107" s="23" t="n"/>
    </row>
    <row r="108" ht="46" customHeight="1">
      <c r="A108" s="18" t="inlineStr">
        <is>
          <t>H-07</t>
        </is>
      </c>
      <c r="B108" s="19" t="inlineStr">
        <is>
          <t>List certifications held for the ammonia fuel system — class society approval in principle or full approval, ATEX / IECEx, CE / PED, ASME — and provide the certificates.</t>
        </is>
      </c>
      <c r="C108" s="19" t="inlineStr">
        <is>
          <t>Certificates are checkable facts; claims are not.</t>
        </is>
      </c>
      <c r="D108" s="19" t="inlineStr">
        <is>
          <t>Certificate copies</t>
        </is>
      </c>
      <c r="E108" s="20" t="inlineStr">
        <is>
          <t>Critical</t>
        </is>
      </c>
      <c r="F108" s="21" t="inlineStr">
        <is>
          <t>C2</t>
        </is>
      </c>
      <c r="G108" s="22" t="n"/>
      <c r="H108" s="23" t="n"/>
      <c r="I108" s="23" t="n"/>
      <c r="J108" s="23" t="n"/>
      <c r="K108" s="23" t="n"/>
    </row>
    <row r="109" ht="46" customHeight="1">
      <c r="A109" s="18" t="inlineStr">
        <is>
          <t>H-08</t>
        </is>
      </c>
      <c r="B109" s="19" t="inlineStr">
        <is>
          <t>Have you licensed or permitted an ammonia-fuelled engine installation in any jurisdiction? What is your position on Malaysian DOE and Singaporean NEA / MOM acceptance?</t>
        </is>
      </c>
      <c r="C109" s="19" t="inlineStr">
        <is>
          <t>Precedent permitting experience is worth more than a compliance opinion.</t>
        </is>
      </c>
      <c r="D109" s="19" t="inlineStr">
        <is>
          <t>Permitting precedent list</t>
        </is>
      </c>
      <c r="E109" s="20" t="inlineStr">
        <is>
          <t>Critical</t>
        </is>
      </c>
      <c r="F109" s="21" t="inlineStr">
        <is>
          <t>C6</t>
        </is>
      </c>
      <c r="G109" s="22" t="n"/>
      <c r="H109" s="23" t="n"/>
      <c r="I109" s="23" t="n"/>
      <c r="J109" s="23" t="n"/>
      <c r="K109" s="23" t="n"/>
    </row>
    <row r="110" ht="30" customHeight="1">
      <c r="A110" s="18" t="inlineStr">
        <is>
          <t>H-09</t>
        </is>
      </c>
      <c r="B110" s="19" t="inlineStr">
        <is>
          <t>State the firefighting and emergency response requirements specific to ammonia in the engine hall.</t>
        </is>
      </c>
      <c r="C110" s="19" t="inlineStr">
        <is>
          <t>Ammonia response differs fundamentally from hydrocarbon response.</t>
        </is>
      </c>
      <c r="D110" s="19" t="inlineStr">
        <is>
          <t>Emergency response requirements</t>
        </is>
      </c>
      <c r="E110" s="24" t="inlineStr">
        <is>
          <t>High</t>
        </is>
      </c>
      <c r="F110" s="21" t="inlineStr">
        <is>
          <t>C6</t>
        </is>
      </c>
      <c r="G110" s="22" t="n"/>
      <c r="H110" s="23" t="n"/>
      <c r="I110" s="23" t="n"/>
      <c r="J110" s="23" t="n"/>
      <c r="K110" s="23" t="n"/>
    </row>
    <row r="111" ht="30" customHeight="1">
      <c r="A111" s="18" t="inlineStr">
        <is>
          <t>H-10</t>
        </is>
      </c>
      <c r="B111" s="19" t="inlineStr">
        <is>
          <t>Describe the operator and maintainer training programme on ammonia-specific hazards: content, duration, location and certification.</t>
        </is>
      </c>
      <c r="C111" s="19" t="inlineStr">
        <is>
          <t>Competency is a genuine risk control and a contract deliverable.</t>
        </is>
      </c>
      <c r="D111" s="19" t="inlineStr">
        <is>
          <t>Training programme outline</t>
        </is>
      </c>
      <c r="E111" s="24" t="inlineStr">
        <is>
          <t>High</t>
        </is>
      </c>
      <c r="F111" s="21" t="inlineStr">
        <is>
          <t>C9</t>
        </is>
      </c>
      <c r="G111" s="22" t="n"/>
      <c r="H111" s="23" t="n"/>
      <c r="I111" s="23" t="n"/>
      <c r="J111" s="23" t="n"/>
      <c r="K111" s="23" t="n"/>
    </row>
    <row r="113" ht="22" customHeight="1">
      <c r="A113" s="16" t="inlineStr">
        <is>
          <t>I — Reliability, availability &amp; maintainability</t>
        </is>
      </c>
      <c r="B113" s="17" t="n"/>
      <c r="C113" s="17" t="n"/>
      <c r="D113" s="17" t="n"/>
      <c r="E113" s="17" t="n"/>
      <c r="F113" s="17" t="n"/>
      <c r="G113" s="17" t="n"/>
      <c r="H113" s="17" t="n"/>
      <c r="I113" s="17" t="n"/>
      <c r="J113" s="17" t="n"/>
      <c r="K113" s="17" t="n"/>
    </row>
    <row r="114" ht="30" customHeight="1">
      <c r="A114" s="18" t="inlineStr">
        <is>
          <t>I-01</t>
        </is>
      </c>
      <c r="B114" s="19" t="inlineStr">
        <is>
          <t>State the guaranteed availability and reliability (%) for the unit operating on ammonia, the basis of the guarantee, and all exclusions.</t>
        </is>
      </c>
      <c r="C114" s="19" t="inlineStr">
        <is>
          <t>Watch for a guarantee written on back-up fuel operation only.</t>
        </is>
      </c>
      <c r="D114" s="19" t="inlineStr">
        <is>
          <t>Availability guarantee wording with exclusions</t>
        </is>
      </c>
      <c r="E114" s="20" t="inlineStr">
        <is>
          <t>Critical</t>
        </is>
      </c>
      <c r="F114" s="21" t="inlineStr">
        <is>
          <t>C9</t>
        </is>
      </c>
      <c r="G114" s="22" t="n"/>
      <c r="H114" s="23" t="n"/>
      <c r="I114" s="23" t="n"/>
      <c r="J114" s="23" t="n"/>
      <c r="K114" s="23" t="n"/>
    </row>
    <row r="115" ht="30" customHeight="1">
      <c r="A115" s="18" t="inlineStr">
        <is>
          <t>I-02</t>
        </is>
      </c>
      <c r="B115" s="19" t="inlineStr">
        <is>
          <t>Give demonstrated MTBF and MTTR for the ammonia-specific systems (fuel skid, injectors, after-treatment) from your test and field programme.</t>
        </is>
      </c>
      <c r="C115" s="19" t="inlineStr">
        <is>
          <t>Distinguishes evidence from aspiration.</t>
        </is>
      </c>
      <c r="D115" s="19" t="inlineStr">
        <is>
          <t>RAM data from test/field programme</t>
        </is>
      </c>
      <c r="E115" s="20" t="inlineStr">
        <is>
          <t>Critical</t>
        </is>
      </c>
      <c r="F115" s="21" t="inlineStr">
        <is>
          <t>C9</t>
        </is>
      </c>
      <c r="G115" s="22" t="n"/>
      <c r="H115" s="23" t="n"/>
      <c r="I115" s="23" t="n"/>
      <c r="J115" s="23" t="n"/>
      <c r="K115" s="23" t="n"/>
    </row>
    <row r="116" ht="30" customHeight="1">
      <c r="A116" s="18" t="inlineStr">
        <is>
          <t>I-03</t>
        </is>
      </c>
      <c r="B116" s="19" t="inlineStr">
        <is>
          <t>Provide the planned maintenance schedule: interval, duration and manning for each maintenance step, and total planned outage days per year.</t>
        </is>
      </c>
      <c r="C116" s="19" t="inlineStr">
        <is>
          <t>Sets the availability ceiling before any failure occurs.</t>
        </is>
      </c>
      <c r="D116" s="19" t="inlineStr">
        <is>
          <t>Maintenance schedule</t>
        </is>
      </c>
      <c r="E116" s="24" t="inlineStr">
        <is>
          <t>High</t>
        </is>
      </c>
      <c r="F116" s="21" t="inlineStr">
        <is>
          <t>C9</t>
        </is>
      </c>
      <c r="G116" s="22" t="n"/>
      <c r="H116" s="23" t="n"/>
      <c r="I116" s="23" t="n"/>
      <c r="J116" s="23" t="n"/>
      <c r="K116" s="23" t="n"/>
    </row>
    <row r="117" ht="30" customHeight="1">
      <c r="A117" s="18" t="inlineStr">
        <is>
          <t>I-04</t>
        </is>
      </c>
      <c r="B117" s="19" t="inlineStr">
        <is>
          <t>State overhaul intervals (top-end and major) in operating hours on ammonia, and the cost of each overhaul.</t>
        </is>
      </c>
      <c r="C117" s="19" t="inlineStr">
        <is>
          <t>Compare directly with the natural-gas parent engine to expose the ammonia penalty.</t>
        </is>
      </c>
      <c r="D117" s="19" t="inlineStr">
        <is>
          <t>Overhaul interval and cost schedule</t>
        </is>
      </c>
      <c r="E117" s="20" t="inlineStr">
        <is>
          <t>Critical</t>
        </is>
      </c>
      <c r="F117" s="21" t="inlineStr">
        <is>
          <t>C9</t>
        </is>
      </c>
      <c r="G117" s="22" t="n"/>
      <c r="H117" s="23" t="n"/>
      <c r="I117" s="23" t="n"/>
      <c r="J117" s="23" t="n"/>
      <c r="K117" s="23" t="n"/>
    </row>
    <row r="118" ht="30" customHeight="1">
      <c r="A118" s="18" t="inlineStr">
        <is>
          <t>I-05</t>
        </is>
      </c>
      <c r="B118" s="19" t="inlineStr">
        <is>
          <t>Which parts have a shorter service life on ammonia than on the parent fuel, and by how much?</t>
        </is>
      </c>
      <c r="C118" s="19" t="inlineStr">
        <is>
          <t>A direct, answerable question that reveals real ammonia experience.</t>
        </is>
      </c>
      <c r="D118" s="19" t="inlineStr">
        <is>
          <t>Component life comparison table</t>
        </is>
      </c>
      <c r="E118" s="20" t="inlineStr">
        <is>
          <t>Critical</t>
        </is>
      </c>
      <c r="F118" s="21" t="inlineStr">
        <is>
          <t>C9</t>
        </is>
      </c>
      <c r="G118" s="22" t="n"/>
      <c r="H118" s="23" t="n"/>
      <c r="I118" s="23" t="n"/>
      <c r="J118" s="23" t="n"/>
      <c r="K118" s="23" t="n"/>
    </row>
    <row r="119" ht="30" customHeight="1">
      <c r="A119" s="18" t="inlineStr">
        <is>
          <t>I-06</t>
        </is>
      </c>
      <c r="B119" s="19" t="inlineStr">
        <is>
          <t>Give the recommended capital spares list with cost and lead time, and identify which ammonia-specific spares are single-sourced.</t>
        </is>
      </c>
      <c r="C119" s="19" t="inlineStr">
        <is>
          <t>Single-sourced ammonia parts are a hidden availability risk over 20 years.</t>
        </is>
      </c>
      <c r="D119" s="19" t="inlineStr">
        <is>
          <t>Capital spares list with lead times</t>
        </is>
      </c>
      <c r="E119" s="24" t="inlineStr">
        <is>
          <t>High</t>
        </is>
      </c>
      <c r="F119" s="21" t="inlineStr">
        <is>
          <t>C8</t>
        </is>
      </c>
      <c r="G119" s="22" t="n"/>
      <c r="H119" s="23" t="n"/>
      <c r="I119" s="23" t="n"/>
      <c r="J119" s="23" t="n"/>
      <c r="K119" s="23" t="n"/>
    </row>
    <row r="120" ht="30" customHeight="1">
      <c r="A120" s="18" t="inlineStr">
        <is>
          <t>I-07</t>
        </is>
      </c>
      <c r="B120" s="19" t="inlineStr">
        <is>
          <t>State your obsolescence and parts-availability commitment for the ammonia variant, in years.</t>
        </is>
      </c>
      <c r="C120" s="19" t="inlineStr">
        <is>
          <t>New product lines get discontinued; a written commitment matters.</t>
        </is>
      </c>
      <c r="D120" s="19" t="inlineStr">
        <is>
          <t>Parts availability commitment</t>
        </is>
      </c>
      <c r="E120" s="24" t="inlineStr">
        <is>
          <t>High</t>
        </is>
      </c>
      <c r="F120" s="21" t="inlineStr">
        <is>
          <t>C7</t>
        </is>
      </c>
      <c r="G120" s="22" t="n"/>
      <c r="H120" s="23" t="n"/>
      <c r="I120" s="23" t="n"/>
      <c r="J120" s="23" t="n"/>
      <c r="K120" s="23" t="n"/>
    </row>
    <row r="121" ht="46" customHeight="1">
      <c r="A121" s="18" t="inlineStr">
        <is>
          <t>I-08</t>
        </is>
      </c>
      <c r="B121" s="19" t="inlineStr">
        <is>
          <t>Describe your service network in Malaysia and Singapore: number of engineers, workshop capability, guaranteed response time, and where the nearest ammonia-trained team is based.</t>
        </is>
      </c>
      <c r="C121" s="19" t="inlineStr">
        <is>
          <t>Regional support is decisive on a first-of-a-kind unit.</t>
        </is>
      </c>
      <c r="D121" s="19" t="inlineStr">
        <is>
          <t>Service network description; response commitments</t>
        </is>
      </c>
      <c r="E121" s="20" t="inlineStr">
        <is>
          <t>Critical</t>
        </is>
      </c>
      <c r="F121" s="21" t="inlineStr">
        <is>
          <t>C9</t>
        </is>
      </c>
      <c r="G121" s="22" t="n"/>
      <c r="H121" s="23" t="n"/>
      <c r="I121" s="23" t="n"/>
      <c r="J121" s="23" t="n"/>
      <c r="K121" s="23" t="n"/>
    </row>
    <row r="122" ht="30" customHeight="1">
      <c r="A122" s="18" t="inlineStr">
        <is>
          <t>I-09</t>
        </is>
      </c>
      <c r="B122" s="19" t="inlineStr">
        <is>
          <t>Describe your remote monitoring and diagnostics offering, data ownership terms and cybersecurity posture.</t>
        </is>
      </c>
      <c r="C122" s="19" t="inlineStr">
        <is>
          <t>Remote diagnostics is valuable on FOAK equipment; data terms need checking.</t>
        </is>
      </c>
      <c r="D122" s="19" t="inlineStr">
        <is>
          <t>Remote services description; data terms</t>
        </is>
      </c>
      <c r="E122" s="25" t="inlineStr">
        <is>
          <t>Medium</t>
        </is>
      </c>
      <c r="F122" s="21" t="inlineStr">
        <is>
          <t>C9</t>
        </is>
      </c>
      <c r="G122" s="22" t="n"/>
      <c r="H122" s="23" t="n"/>
      <c r="I122" s="23" t="n"/>
      <c r="J122" s="23" t="n"/>
      <c r="K122" s="23" t="n"/>
    </row>
    <row r="123" ht="46" customHeight="1">
      <c r="A123" s="18" t="inlineStr">
        <is>
          <t>I-10</t>
        </is>
      </c>
      <c r="B123" s="19" t="inlineStr">
        <is>
          <t>What condition monitoring do you provide to detect incipient combustion problems — misfire trending, cylinder pressure analysis, lube oil analysis for nitrates and water?</t>
        </is>
      </c>
      <c r="C123" s="19" t="inlineStr">
        <is>
          <t>Early detection is the practical defence against the ammonia-specific degradation paths.</t>
        </is>
      </c>
      <c r="D123" s="19" t="inlineStr">
        <is>
          <t>Condition monitoring specification</t>
        </is>
      </c>
      <c r="E123" s="24" t="inlineStr">
        <is>
          <t>High</t>
        </is>
      </c>
      <c r="F123" s="21" t="inlineStr">
        <is>
          <t>C9</t>
        </is>
      </c>
      <c r="G123" s="22" t="n"/>
      <c r="H123" s="23" t="n"/>
      <c r="I123" s="23" t="n"/>
      <c r="J123" s="23" t="n"/>
      <c r="K123" s="23" t="n"/>
    </row>
    <row r="125" ht="22" customHeight="1">
      <c r="A125" s="16" t="inlineStr">
        <is>
          <t>J — Technology maturity evidence</t>
        </is>
      </c>
      <c r="B125" s="17" t="n"/>
      <c r="C125" s="17" t="n"/>
      <c r="D125" s="17" t="n"/>
      <c r="E125" s="17" t="n"/>
      <c r="F125" s="17" t="n"/>
      <c r="G125" s="17" t="n"/>
      <c r="H125" s="17" t="n"/>
      <c r="I125" s="17" t="n"/>
      <c r="J125" s="17" t="n"/>
      <c r="K125" s="17" t="n"/>
    </row>
    <row r="126" ht="46" customHeight="1">
      <c r="A126" s="18" t="inlineStr">
        <is>
          <t>J-01</t>
        </is>
      </c>
      <c r="B126" s="19" t="inlineStr">
        <is>
          <t>State the TRL of (a) the combustion system, (b) the ammonia fuel supply system, (c) the after-treatment train, (d) the integrated genset. Justify each against a named TRL definition.</t>
        </is>
      </c>
      <c r="C126" s="19" t="inlineStr">
        <is>
          <t>Forces the OEM to disaggregate maturity instead of quoting a single optimistic number.</t>
        </is>
      </c>
      <c r="D126" s="19" t="inlineStr">
        <is>
          <t>TRL assessment with named scale and justification</t>
        </is>
      </c>
      <c r="E126" s="20" t="inlineStr">
        <is>
          <t>Critical</t>
        </is>
      </c>
      <c r="F126" s="21" t="inlineStr">
        <is>
          <t>C2</t>
        </is>
      </c>
      <c r="G126" s="22" t="n"/>
      <c r="H126" s="23" t="n"/>
      <c r="I126" s="23" t="n"/>
      <c r="J126" s="23" t="n"/>
      <c r="K126" s="23" t="n"/>
    </row>
    <row r="127" ht="30" customHeight="1">
      <c r="A127" s="18" t="inlineStr">
        <is>
          <t>J-02</t>
        </is>
      </c>
      <c r="B127" s="19" t="inlineStr">
        <is>
          <t>Provide the development test matrix executed to date and the remaining programme with dates and decision gates.</t>
        </is>
      </c>
      <c r="C127" s="19" t="inlineStr">
        <is>
          <t>Shows how much of the de-risking is behind us versus ahead of us.</t>
        </is>
      </c>
      <c r="D127" s="19" t="inlineStr">
        <is>
          <t>Test matrix; forward programme with gates</t>
        </is>
      </c>
      <c r="E127" s="20" t="inlineStr">
        <is>
          <t>Critical</t>
        </is>
      </c>
      <c r="F127" s="21" t="inlineStr">
        <is>
          <t>C2</t>
        </is>
      </c>
      <c r="G127" s="22" t="n"/>
      <c r="H127" s="23" t="n"/>
      <c r="I127" s="23" t="n"/>
      <c r="J127" s="23" t="n"/>
      <c r="K127" s="23" t="n"/>
    </row>
    <row r="128" ht="30" customHeight="1">
      <c r="A128" s="18" t="inlineStr">
        <is>
          <t>J-03</t>
        </is>
      </c>
      <c r="B128" s="19" t="inlineStr">
        <is>
          <t>Which independent third party has verified your ammonia performance and emissions claims? Provide the verification report.</t>
        </is>
      </c>
      <c r="C128" s="19" t="inlineStr">
        <is>
          <t>Independent verification is the difference between a claim and a fact.</t>
        </is>
      </c>
      <c r="D128" s="19" t="inlineStr">
        <is>
          <t>Third-party verification report</t>
        </is>
      </c>
      <c r="E128" s="20" t="inlineStr">
        <is>
          <t>Critical</t>
        </is>
      </c>
      <c r="F128" s="21" t="inlineStr">
        <is>
          <t>C2</t>
        </is>
      </c>
      <c r="G128" s="22" t="n"/>
      <c r="H128" s="23" t="n"/>
      <c r="I128" s="23" t="n"/>
      <c r="J128" s="23" t="n"/>
      <c r="K128" s="23" t="n"/>
    </row>
    <row r="129" ht="30" customHeight="1">
      <c r="A129" s="18" t="inlineStr">
        <is>
          <t>J-04</t>
        </is>
      </c>
      <c r="B129" s="19" t="inlineStr">
        <is>
          <t>What will your first stationary ammonia genset reference be, and when will it enter commercial service?</t>
        </is>
      </c>
      <c r="C129" s="19" t="inlineStr">
        <is>
          <t>Tells us whether we would be the reference or would follow one.</t>
        </is>
      </c>
      <c r="D129" s="19" t="inlineStr">
        <is>
          <t>First stationary reference plan</t>
        </is>
      </c>
      <c r="E129" s="20" t="inlineStr">
        <is>
          <t>Critical</t>
        </is>
      </c>
      <c r="F129" s="21" t="inlineStr">
        <is>
          <t>C2</t>
        </is>
      </c>
      <c r="G129" s="22" t="n"/>
      <c r="H129" s="23" t="n"/>
      <c r="I129" s="23" t="n"/>
      <c r="J129" s="23" t="n"/>
      <c r="K129" s="23" t="n"/>
    </row>
    <row r="130" ht="46" customHeight="1">
      <c r="A130" s="18" t="inlineStr">
        <is>
          <t>J-05</t>
        </is>
      </c>
      <c r="B130" s="19" t="inlineStr">
        <is>
          <t>Are you willing for our unit to be a first-of-a-kind? If so, what additional de-risking do you propose — extended factory testing, enhanced guarantees, escrow, step-in rights, staged acceptance?</t>
        </is>
      </c>
      <c r="C130" s="19" t="inlineStr">
        <is>
          <t>Converts FOAK status from a risk we absorb into a risk we share.</t>
        </is>
      </c>
      <c r="D130" s="19" t="inlineStr">
        <is>
          <t>FOAK de-risking proposal</t>
        </is>
      </c>
      <c r="E130" s="20" t="inlineStr">
        <is>
          <t>Critical</t>
        </is>
      </c>
      <c r="F130" s="21" t="inlineStr">
        <is>
          <t>C7</t>
        </is>
      </c>
      <c r="G130" s="22" t="n"/>
      <c r="H130" s="23" t="n"/>
      <c r="I130" s="23" t="n"/>
      <c r="J130" s="23" t="n"/>
      <c r="K130" s="23" t="n"/>
    </row>
    <row r="131" ht="30" customHeight="1">
      <c r="A131" s="18" t="inlineStr">
        <is>
          <t>J-06</t>
        </is>
      </c>
      <c r="B131" s="19" t="inlineStr">
        <is>
          <t>Identify the top five residual technical risks you yourself hold on this product, and your mitigation for each.</t>
        </is>
      </c>
      <c r="C131" s="19" t="inlineStr">
        <is>
          <t>An OEM that cannot name its own residual risks does not understand them, or will not share them.</t>
        </is>
      </c>
      <c r="D131" s="19" t="inlineStr">
        <is>
          <t>Risk register extract</t>
        </is>
      </c>
      <c r="E131" s="20" t="inlineStr">
        <is>
          <t>Critical</t>
        </is>
      </c>
      <c r="F131" s="21" t="inlineStr">
        <is>
          <t>C2</t>
        </is>
      </c>
      <c r="G131" s="22" t="n"/>
      <c r="H131" s="23" t="n"/>
      <c r="I131" s="23" t="n"/>
      <c r="J131" s="23" t="n"/>
      <c r="K131" s="23" t="n"/>
    </row>
    <row r="133" ht="22" customHeight="1">
      <c r="A133" s="16" t="inlineStr">
        <is>
          <t>K — Long lead items &amp; schedule to commissioning</t>
        </is>
      </c>
      <c r="B133" s="17" t="n"/>
      <c r="C133" s="17" t="n"/>
      <c r="D133" s="17" t="n"/>
      <c r="E133" s="17" t="n"/>
      <c r="F133" s="17" t="n"/>
      <c r="G133" s="17" t="n"/>
      <c r="H133" s="17" t="n"/>
      <c r="I133" s="17" t="n"/>
      <c r="J133" s="17" t="n"/>
      <c r="K133" s="17" t="n"/>
    </row>
    <row r="134" ht="46" customHeight="1">
      <c r="A134" s="18" t="inlineStr">
        <is>
          <t>K-01</t>
        </is>
      </c>
      <c r="B134" s="19" t="inlineStr">
        <is>
          <t>List every long-lead item in your scope with current quoted lead time (weeks from purchase order and from down payment), the sub-supplier, and whether it is single-sourced.</t>
        </is>
      </c>
      <c r="C134" s="19" t="inlineStr">
        <is>
          <t>Fills the long-lead register on sheet 4 and exposes concentration risk.</t>
        </is>
      </c>
      <c r="D134" s="19" t="inlineStr">
        <is>
          <t>Long lead item register</t>
        </is>
      </c>
      <c r="E134" s="20" t="inlineStr">
        <is>
          <t>Critical</t>
        </is>
      </c>
      <c r="F134" s="21" t="inlineStr">
        <is>
          <t>C8</t>
        </is>
      </c>
      <c r="G134" s="22" t="n"/>
      <c r="H134" s="23" t="n"/>
      <c r="I134" s="23" t="n"/>
      <c r="J134" s="23" t="n"/>
      <c r="K134" s="23" t="n"/>
    </row>
    <row r="135" ht="30" customHeight="1">
      <c r="A135" s="18" t="inlineStr">
        <is>
          <t>K-02</t>
        </is>
      </c>
      <c r="B135" s="19" t="inlineStr">
        <is>
          <t>Which item sits on the critical path today, and how has that lead time moved over the past 12 months?</t>
        </is>
      </c>
      <c r="C135" s="19" t="inlineStr">
        <is>
          <t>Trend matters more than the snapshot in the current supply-constrained market.</t>
        </is>
      </c>
      <c r="D135" s="19" t="inlineStr">
        <is>
          <t>Critical path statement; 12-month lead time trend</t>
        </is>
      </c>
      <c r="E135" s="20" t="inlineStr">
        <is>
          <t>Critical</t>
        </is>
      </c>
      <c r="F135" s="21" t="inlineStr">
        <is>
          <t>C8</t>
        </is>
      </c>
      <c r="G135" s="22" t="n"/>
      <c r="H135" s="23" t="n"/>
      <c r="I135" s="23" t="n"/>
      <c r="J135" s="23" t="n"/>
      <c r="K135" s="23" t="n"/>
    </row>
    <row r="136" ht="46" customHeight="1">
      <c r="A136" s="18" t="inlineStr">
        <is>
          <t>K-03</t>
        </is>
      </c>
      <c r="B136" s="19" t="inlineStr">
        <is>
          <t>Give lead times specifically for the engine block and crankshaft, cylinder heads and injectors, turbocharger, and alternator, together with slot availability in your production plan.</t>
        </is>
      </c>
      <c r="C136" s="19" t="inlineStr">
        <is>
          <t>These are the items that historically set the delivery date for engine plants.</t>
        </is>
      </c>
      <c r="D136" s="19" t="inlineStr">
        <is>
          <t>Component lead times; production slot chart</t>
        </is>
      </c>
      <c r="E136" s="20" t="inlineStr">
        <is>
          <t>Critical</t>
        </is>
      </c>
      <c r="F136" s="21" t="inlineStr">
        <is>
          <t>C8</t>
        </is>
      </c>
      <c r="G136" s="22" t="n"/>
      <c r="H136" s="23" t="n"/>
      <c r="I136" s="23" t="n"/>
      <c r="J136" s="23" t="n"/>
      <c r="K136" s="23" t="n"/>
    </row>
    <row r="137" ht="30" customHeight="1">
      <c r="A137" s="18" t="inlineStr">
        <is>
          <t>K-04</t>
        </is>
      </c>
      <c r="B137" s="19" t="inlineStr">
        <is>
          <t>What is the earliest available production slot? What does it cost to reserve, how long is the reservation valid, and what are the cancellation terms?</t>
        </is>
      </c>
      <c r="C137" s="19" t="inlineStr">
        <is>
          <t>Slot reservation is often the only way to protect a schedule, and it is a real cash commitment.</t>
        </is>
      </c>
      <c r="D137" s="19" t="inlineStr">
        <is>
          <t>Slot reservation terms</t>
        </is>
      </c>
      <c r="E137" s="20" t="inlineStr">
        <is>
          <t>Critical</t>
        </is>
      </c>
      <c r="F137" s="21" t="inlineStr">
        <is>
          <t>C8</t>
        </is>
      </c>
      <c r="G137" s="22" t="n"/>
      <c r="H137" s="23" t="n"/>
      <c r="I137" s="23" t="n"/>
      <c r="J137" s="23" t="n"/>
      <c r="K137" s="23" t="n"/>
    </row>
    <row r="138" ht="62" customHeight="1">
      <c r="A138" s="18" t="inlineStr">
        <is>
          <t>K-05</t>
        </is>
      </c>
      <c r="B138" s="19" t="inlineStr">
        <is>
          <t>Provide a Level 2 schedule from purchase order to commercial operation covering: effective date, engineering release, long-lead purchase orders, major component manufacture, factory acceptance test, shipment, site delivery, mechanical completion, cold commissioning, first fire on pilot fuel, first fire on ammonia, performance test, reliability run, commercial operation date.</t>
        </is>
      </c>
      <c r="C138" s="19" t="inlineStr">
        <is>
          <t>Populates sheet 4 and is the basis for schedule-risk assessment.</t>
        </is>
      </c>
      <c r="D138" s="19" t="inlineStr">
        <is>
          <t>Level 2 schedule (native file)</t>
        </is>
      </c>
      <c r="E138" s="20" t="inlineStr">
        <is>
          <t>Critical</t>
        </is>
      </c>
      <c r="F138" s="21" t="inlineStr">
        <is>
          <t>C8</t>
        </is>
      </c>
      <c r="G138" s="22" t="n"/>
      <c r="H138" s="23" t="n"/>
      <c r="I138" s="23" t="n"/>
      <c r="J138" s="23" t="n"/>
      <c r="K138" s="23" t="n"/>
    </row>
    <row r="139" ht="30" customHeight="1">
      <c r="A139" s="18" t="inlineStr">
        <is>
          <t>K-06</t>
        </is>
      </c>
      <c r="B139" s="19" t="inlineStr">
        <is>
          <t>Which activities carry no float, and what are your top three schedule risks?</t>
        </is>
      </c>
      <c r="C139" s="19" t="inlineStr">
        <is>
          <t>An OEM's own schedule risk view is more useful than our guess at it.</t>
        </is>
      </c>
      <c r="D139" s="19" t="inlineStr">
        <is>
          <t>Schedule risk register</t>
        </is>
      </c>
      <c r="E139" s="24" t="inlineStr">
        <is>
          <t>High</t>
        </is>
      </c>
      <c r="F139" s="21" t="inlineStr">
        <is>
          <t>C8</t>
        </is>
      </c>
      <c r="G139" s="22" t="n"/>
      <c r="H139" s="23" t="n"/>
      <c r="I139" s="23" t="n"/>
      <c r="J139" s="23" t="n"/>
      <c r="K139" s="23" t="n"/>
    </row>
    <row r="140" ht="30" customHeight="1">
      <c r="A140" s="18" t="inlineStr">
        <is>
          <t>K-07</t>
        </is>
      </c>
      <c r="B140" s="19" t="inlineStr">
        <is>
          <t>Describe the factory acceptance test scope and duration, and state explicitly whether ammonia is fired at the works.</t>
        </is>
      </c>
      <c r="C140" s="19" t="inlineStr">
        <is>
          <t>A works ammonia fire before shipment is the single largest schedule and technical de-risking opportunity.</t>
        </is>
      </c>
      <c r="D140" s="19" t="inlineStr">
        <is>
          <t>FAT procedure; ammonia firing confirmation</t>
        </is>
      </c>
      <c r="E140" s="20" t="inlineStr">
        <is>
          <t>Critical</t>
        </is>
      </c>
      <c r="F140" s="21" t="inlineStr">
        <is>
          <t>C8</t>
        </is>
      </c>
      <c r="G140" s="22" t="n"/>
      <c r="H140" s="23" t="n"/>
      <c r="I140" s="23" t="n"/>
      <c r="J140" s="23" t="n"/>
      <c r="K140" s="23" t="n"/>
    </row>
    <row r="141" ht="46" customHeight="1">
      <c r="A141" s="18" t="inlineStr">
        <is>
          <t>K-08</t>
        </is>
      </c>
      <c r="B141" s="19" t="inlineStr">
        <is>
          <t>State site commissioning duration, OEM manning, and every prerequisite you require from us (ammonia availability, nitrogen, power, water, DCS readiness, permits).</t>
        </is>
      </c>
      <c r="C141" s="19" t="inlineStr">
        <is>
          <t>Commissioning prerequisites become our critical path if identified late.</t>
        </is>
      </c>
      <c r="D141" s="19" t="inlineStr">
        <is>
          <t>Commissioning plan; prerequisite list</t>
        </is>
      </c>
      <c r="E141" s="20" t="inlineStr">
        <is>
          <t>Critical</t>
        </is>
      </c>
      <c r="F141" s="21" t="inlineStr">
        <is>
          <t>C8</t>
        </is>
      </c>
      <c r="G141" s="22" t="n"/>
      <c r="H141" s="23" t="n"/>
      <c r="I141" s="23" t="n"/>
      <c r="J141" s="23" t="n"/>
      <c r="K141" s="23" t="n"/>
    </row>
    <row r="142" ht="30" customHeight="1">
      <c r="A142" s="18" t="inlineStr">
        <is>
          <t>K-09</t>
        </is>
      </c>
      <c r="B142" s="19" t="inlineStr">
        <is>
          <t>What quantity of ammonia, over what period, do you need for commissioning and the performance test — and who supplies it?</t>
        </is>
      </c>
      <c r="C142" s="19" t="inlineStr">
        <is>
          <t>Commissioning ammonia is a substantial, frequently unbudgeted logistics item.</t>
        </is>
      </c>
      <c r="D142" s="19" t="inlineStr">
        <is>
          <t>Commissioning fuel requirement</t>
        </is>
      </c>
      <c r="E142" s="20" t="inlineStr">
        <is>
          <t>Critical</t>
        </is>
      </c>
      <c r="F142" s="21" t="inlineStr">
        <is>
          <t>C8</t>
        </is>
      </c>
      <c r="G142" s="22" t="n"/>
      <c r="H142" s="23" t="n"/>
      <c r="I142" s="23" t="n"/>
      <c r="J142" s="23" t="n"/>
      <c r="K142" s="23" t="n"/>
    </row>
    <row r="143" ht="30" customHeight="1">
      <c r="A143" s="18" t="inlineStr">
        <is>
          <t>K-10</t>
        </is>
      </c>
      <c r="B143" s="19" t="inlineStr">
        <is>
          <t>What is the schedule impact if the unit must be fully permitted in Malaysia (and accepted for Singapore-side offtake) before first ammonia firing?</t>
        </is>
      </c>
      <c r="C143" s="19" t="inlineStr">
        <is>
          <t>Permitting sequence can dominate the schedule for a first-of-a-kind ammonia installation.</t>
        </is>
      </c>
      <c r="D143" s="19" t="inlineStr">
        <is>
          <t>Permitting-dependent schedule scenario</t>
        </is>
      </c>
      <c r="E143" s="24" t="inlineStr">
        <is>
          <t>High</t>
        </is>
      </c>
      <c r="F143" s="21" t="inlineStr">
        <is>
          <t>C8</t>
        </is>
      </c>
      <c r="G143" s="22" t="n"/>
      <c r="H143" s="23" t="n"/>
      <c r="I143" s="23" t="n"/>
      <c r="J143" s="23" t="n"/>
      <c r="K143" s="23" t="n"/>
    </row>
    <row r="145" ht="22" customHeight="1">
      <c r="A145" s="16" t="inlineStr">
        <is>
          <t>L — Execution model, EPC preference &amp; scope split</t>
        </is>
      </c>
      <c r="B145" s="17" t="n"/>
      <c r="C145" s="17" t="n"/>
      <c r="D145" s="17" t="n"/>
      <c r="E145" s="17" t="n"/>
      <c r="F145" s="17" t="n"/>
      <c r="G145" s="17" t="n"/>
      <c r="H145" s="17" t="n"/>
      <c r="I145" s="17" t="n"/>
      <c r="J145" s="17" t="n"/>
      <c r="K145" s="17" t="n"/>
    </row>
    <row r="146" ht="46" customHeight="1">
      <c r="A146" s="18" t="inlineStr">
        <is>
          <t>L-01</t>
        </is>
      </c>
      <c r="B146" s="19" t="inlineStr">
        <is>
          <t>Which delivery models do you offer: equipment supply only, engineering plus equipment, EPC turnkey, or build-own-operate / build-own-operate-transfer?</t>
        </is>
      </c>
      <c r="C146" s="19" t="inlineStr">
        <is>
          <t>Sets who carries integration risk on a first-of-a-kind ammonia plant.</t>
        </is>
      </c>
      <c r="D146" s="19" t="inlineStr">
        <is>
          <t>Delivery model options with scope definitions</t>
        </is>
      </c>
      <c r="E146" s="20" t="inlineStr">
        <is>
          <t>Critical</t>
        </is>
      </c>
      <c r="F146" s="21" t="inlineStr">
        <is>
          <t>C10</t>
        </is>
      </c>
      <c r="G146" s="22" t="n"/>
      <c r="H146" s="23" t="n"/>
      <c r="I146" s="23" t="n"/>
      <c r="J146" s="23" t="n"/>
      <c r="K146" s="23" t="n"/>
    </row>
    <row r="147" ht="46" customHeight="1">
      <c r="A147" s="18" t="inlineStr">
        <is>
          <t>L-02</t>
        </is>
      </c>
      <c r="B147" s="19" t="inlineStr">
        <is>
          <t>WHICH EPC CONTRACTORS DO YOU PREFER, and which have you actually worked with on engine power plants — and specifically on ammonia or hydrogen fuel systems? Do you hold an approved or preferred EPC list for Malaysia?</t>
        </is>
      </c>
      <c r="C147" s="19" t="inlineStr">
        <is>
          <t>The user's explicit question. A named, experienced EPC with prior OEM working relationship is a major de-risking lever.</t>
        </is>
      </c>
      <c r="D147" s="19" t="inlineStr">
        <is>
          <t>Preferred / approved EPC list with project references</t>
        </is>
      </c>
      <c r="E147" s="20" t="inlineStr">
        <is>
          <t>Critical</t>
        </is>
      </c>
      <c r="F147" s="21" t="inlineStr">
        <is>
          <t>C10</t>
        </is>
      </c>
      <c r="G147" s="22" t="n"/>
      <c r="H147" s="23" t="n"/>
      <c r="I147" s="23" t="n"/>
      <c r="J147" s="23" t="n"/>
      <c r="K147" s="23" t="n"/>
    </row>
    <row r="148" ht="46" customHeight="1">
      <c r="A148" s="18" t="inlineStr">
        <is>
          <t>L-03</t>
        </is>
      </c>
      <c r="B148" s="19" t="inlineStr">
        <is>
          <t>Would you accept single-point turnkey wrap responsibility including the ammonia fuel system and the after-treatment train — or do you require an EPC to carry the interface risk?</t>
        </is>
      </c>
      <c r="C148" s="19" t="inlineStr">
        <is>
          <t>Determines whether interface risk sits with the OEM, an EPC, or us.</t>
        </is>
      </c>
      <c r="D148" s="19" t="inlineStr">
        <is>
          <t>Written position on turnkey wrap</t>
        </is>
      </c>
      <c r="E148" s="20" t="inlineStr">
        <is>
          <t>Critical</t>
        </is>
      </c>
      <c r="F148" s="21" t="inlineStr">
        <is>
          <t>C10</t>
        </is>
      </c>
      <c r="G148" s="22" t="n"/>
      <c r="H148" s="23" t="n"/>
      <c r="I148" s="23" t="n"/>
      <c r="J148" s="23" t="n"/>
      <c r="K148" s="23" t="n"/>
    </row>
    <row r="149" ht="46" customHeight="1">
      <c r="A149" s="18" t="inlineStr">
        <is>
          <t>L-04</t>
        </is>
      </c>
      <c r="B149" s="19" t="inlineStr">
        <is>
          <t>Define the battery limits and propose an interface matrix covering the storage tank, fuel skid, nitrogen system, vent scrubber, exhaust and stack, electrical, and control system.</t>
        </is>
      </c>
      <c r="C149" s="19" t="inlineStr">
        <is>
          <t>Interface gaps are the main cost-growth mechanism on multi-contract plants.</t>
        </is>
      </c>
      <c r="D149" s="19" t="inlineStr">
        <is>
          <t>Interface matrix; battery limit drawings</t>
        </is>
      </c>
      <c r="E149" s="20" t="inlineStr">
        <is>
          <t>Critical</t>
        </is>
      </c>
      <c r="F149" s="21" t="inlineStr">
        <is>
          <t>C10</t>
        </is>
      </c>
      <c r="G149" s="22" t="n"/>
      <c r="H149" s="23" t="n"/>
      <c r="I149" s="23" t="n"/>
      <c r="J149" s="23" t="n"/>
      <c r="K149" s="23" t="n"/>
    </row>
    <row r="150" ht="30" customHeight="1">
      <c r="A150" s="18" t="inlineStr">
        <is>
          <t>L-05</t>
        </is>
      </c>
      <c r="B150" s="19" t="inlineStr">
        <is>
          <t>Who carries process safety design responsibility for the integrated ammonia system — you, the EPC, or the owner?</t>
        </is>
      </c>
      <c r="C150" s="19" t="inlineStr">
        <is>
          <t>On a toxic fuel this must be assigned unambiguously and in writing.</t>
        </is>
      </c>
      <c r="D150" s="19" t="inlineStr">
        <is>
          <t>Process safety responsibility statement</t>
        </is>
      </c>
      <c r="E150" s="20" t="inlineStr">
        <is>
          <t>Critical</t>
        </is>
      </c>
      <c r="F150" s="21" t="inlineStr">
        <is>
          <t>C6</t>
        </is>
      </c>
      <c r="G150" s="22" t="n"/>
      <c r="H150" s="23" t="n"/>
      <c r="I150" s="23" t="n"/>
      <c r="J150" s="23" t="n"/>
      <c r="K150" s="23" t="n"/>
    </row>
    <row r="151" ht="46" customHeight="1">
      <c r="A151" s="18" t="inlineStr">
        <is>
          <t>L-06</t>
        </is>
      </c>
      <c r="B151" s="19" t="inlineStr">
        <is>
          <t>What can be fabricated or assembled locally in Malaysia — for example at MMHE, Pasir Gudang — versus what must be imported? State any local content you can support.</t>
        </is>
      </c>
      <c r="C151" s="19" t="inlineStr">
        <is>
          <t>Local content supports the Johor-Singapore Special Economic Zone framing and can shorten logistics.</t>
        </is>
      </c>
      <c r="D151" s="19" t="inlineStr">
        <is>
          <t>Localisation assessment</t>
        </is>
      </c>
      <c r="E151" s="24" t="inlineStr">
        <is>
          <t>High</t>
        </is>
      </c>
      <c r="F151" s="21" t="inlineStr">
        <is>
          <t>C10</t>
        </is>
      </c>
      <c r="G151" s="22" t="n"/>
      <c r="H151" s="23" t="n"/>
      <c r="I151" s="23" t="n"/>
      <c r="J151" s="23" t="n"/>
      <c r="K151" s="23" t="n"/>
    </row>
    <row r="152" ht="30" customHeight="1">
      <c r="A152" s="18" t="inlineStr">
        <is>
          <t>L-07</t>
        </is>
      </c>
      <c r="B152" s="19" t="inlineStr">
        <is>
          <t>Is your commissioning organisation OEM-direct or subcontracted? Name the commissioning lead and state their ammonia experience.</t>
        </is>
      </c>
      <c r="C152" s="19" t="inlineStr">
        <is>
          <t>Commissioning competence on ammonia is scarce; naming individuals is a fair ask.</t>
        </is>
      </c>
      <c r="D152" s="19" t="inlineStr">
        <is>
          <t>Commissioning team CVs</t>
        </is>
      </c>
      <c r="E152" s="24" t="inlineStr">
        <is>
          <t>High</t>
        </is>
      </c>
      <c r="F152" s="21" t="inlineStr">
        <is>
          <t>C10</t>
        </is>
      </c>
      <c r="G152" s="22" t="n"/>
      <c r="H152" s="23" t="n"/>
      <c r="I152" s="23" t="n"/>
      <c r="J152" s="23" t="n"/>
      <c r="K152" s="23" t="n"/>
    </row>
    <row r="153" ht="30" customHeight="1">
      <c r="A153" s="18" t="inlineStr">
        <is>
          <t>L-08</t>
        </is>
      </c>
      <c r="B153" s="19" t="inlineStr">
        <is>
          <t>How would you interface with an ammonia storage / terminal contractor and with the plant DCS and energy management integrator? Who leads integration?</t>
        </is>
      </c>
      <c r="C153" s="19" t="inlineStr">
        <is>
          <t>Defines the integration command structure before problems arise.</t>
        </is>
      </c>
      <c r="D153" s="19" t="inlineStr">
        <is>
          <t>Integration responsibility proposal</t>
        </is>
      </c>
      <c r="E153" s="24" t="inlineStr">
        <is>
          <t>High</t>
        </is>
      </c>
      <c r="F153" s="21" t="inlineStr">
        <is>
          <t>C10</t>
        </is>
      </c>
      <c r="G153" s="22" t="n"/>
      <c r="H153" s="23" t="n"/>
      <c r="I153" s="23" t="n"/>
      <c r="J153" s="23" t="n"/>
      <c r="K153" s="23" t="n"/>
    </row>
    <row r="154" ht="30" customHeight="1">
      <c r="A154" s="18" t="inlineStr">
        <is>
          <t>L-09</t>
        </is>
      </c>
      <c r="B154" s="19" t="inlineStr">
        <is>
          <t>List the documentation deliverables included, with format and delivery schedule.</t>
        </is>
      </c>
      <c r="C154" s="19" t="inlineStr">
        <is>
          <t>Documentation gaps block permitting and handover.</t>
        </is>
      </c>
      <c r="D154" s="19" t="inlineStr">
        <is>
          <t>Document deliverables list</t>
        </is>
      </c>
      <c r="E154" s="25" t="inlineStr">
        <is>
          <t>Medium</t>
        </is>
      </c>
      <c r="F154" s="21" t="inlineStr">
        <is>
          <t>C10</t>
        </is>
      </c>
      <c r="G154" s="22" t="n"/>
      <c r="H154" s="23" t="n"/>
      <c r="I154" s="23" t="n"/>
      <c r="J154" s="23" t="n"/>
      <c r="K154" s="23" t="n"/>
    </row>
    <row r="156" ht="22" customHeight="1">
      <c r="A156" s="16" t="inlineStr">
        <is>
          <t>M — Contracts, guarantees &amp; de-risking</t>
        </is>
      </c>
      <c r="B156" s="17" t="n"/>
      <c r="C156" s="17" t="n"/>
      <c r="D156" s="17" t="n"/>
      <c r="E156" s="17" t="n"/>
      <c r="F156" s="17" t="n"/>
      <c r="G156" s="17" t="n"/>
      <c r="H156" s="17" t="n"/>
      <c r="I156" s="17" t="n"/>
      <c r="J156" s="17" t="n"/>
      <c r="K156" s="17" t="n"/>
    </row>
    <row r="157" ht="46" customHeight="1">
      <c r="A157" s="18" t="inlineStr">
        <is>
          <t>M-01</t>
        </is>
      </c>
      <c r="B157" s="19" t="inlineStr">
        <is>
          <t>Which performance parameters will you guarantee contractually? Address each of: net electrical output, net efficiency / heat rate, maximum ammonia energy share, NOx, N2O, ammonia slip, availability, reliability, degradation, noise, auxiliary load.</t>
        </is>
      </c>
      <c r="C157" s="19" t="inlineStr">
        <is>
          <t>The guarantee list is the de-risking instrument. Ammonia energy share and N2O are the two most likely to be quietly omitted.</t>
        </is>
      </c>
      <c r="D157" s="19" t="inlineStr">
        <is>
          <t>Draft guarantee schedule</t>
        </is>
      </c>
      <c r="E157" s="20" t="inlineStr">
        <is>
          <t>Critical</t>
        </is>
      </c>
      <c r="F157" s="21" t="inlineStr">
        <is>
          <t>C7</t>
        </is>
      </c>
      <c r="G157" s="22" t="n"/>
      <c r="H157" s="23" t="n"/>
      <c r="I157" s="23" t="n"/>
      <c r="J157" s="23" t="n"/>
      <c r="K157" s="23" t="n"/>
    </row>
    <row r="158" ht="46" customHeight="1">
      <c r="A158" s="18" t="inlineStr">
        <is>
          <t>M-02</t>
        </is>
      </c>
      <c r="B158" s="19" t="inlineStr">
        <is>
          <t>For each guaranteed parameter, state the guaranteed value, the tolerance, the test procedure and standard, the test conditions, and the correction curves to be applied.</t>
        </is>
      </c>
      <c r="C158" s="19" t="inlineStr">
        <is>
          <t>A guarantee is only as good as its test procedure and correction basis.</t>
        </is>
      </c>
      <c r="D158" s="19" t="inlineStr">
        <is>
          <t>Performance test procedure; correction curves</t>
        </is>
      </c>
      <c r="E158" s="20" t="inlineStr">
        <is>
          <t>Critical</t>
        </is>
      </c>
      <c r="F158" s="21" t="inlineStr">
        <is>
          <t>C7</t>
        </is>
      </c>
      <c r="G158" s="22" t="n"/>
      <c r="H158" s="23" t="n"/>
      <c r="I158" s="23" t="n"/>
      <c r="J158" s="23" t="n"/>
      <c r="K158" s="23" t="n"/>
    </row>
    <row r="159" ht="46" customHeight="1">
      <c r="A159" s="18" t="inlineStr">
        <is>
          <t>M-03</t>
        </is>
      </c>
      <c r="B159" s="19" t="inlineStr">
        <is>
          <t>State liquidated damages rates and caps for (a) performance shortfall and (b) delay, expressed as a percentage of contract price, and confirm whether LDs are the sole and exclusive remedy.</t>
        </is>
      </c>
      <c r="C159" s="19" t="inlineStr">
        <is>
          <t>Defines the actual financial consequence of underperformance.</t>
        </is>
      </c>
      <c r="D159" s="19" t="inlineStr">
        <is>
          <t>LD schedule; sole remedy position</t>
        </is>
      </c>
      <c r="E159" s="20" t="inlineStr">
        <is>
          <t>Critical</t>
        </is>
      </c>
      <c r="F159" s="21" t="inlineStr">
        <is>
          <t>C7</t>
        </is>
      </c>
      <c r="G159" s="22" t="n"/>
      <c r="H159" s="23" t="n"/>
      <c r="I159" s="23" t="n"/>
      <c r="J159" s="23" t="n"/>
      <c r="K159" s="23" t="n"/>
    </row>
    <row r="160" ht="30" customHeight="1">
      <c r="A160" s="18" t="inlineStr">
        <is>
          <t>M-04</t>
        </is>
      </c>
      <c r="B160" s="19" t="inlineStr">
        <is>
          <t>State the overall limitation of liability as a percentage of contract price, and confirm the treatment of consequential and indirect damages.</t>
        </is>
      </c>
      <c r="C160" s="19" t="inlineStr">
        <is>
          <t>Caps our recovery; on FOAK equipment the cap is the real exposure measure.</t>
        </is>
      </c>
      <c r="D160" s="19" t="inlineStr">
        <is>
          <t>Limitation of liability position</t>
        </is>
      </c>
      <c r="E160" s="20" t="inlineStr">
        <is>
          <t>Critical</t>
        </is>
      </c>
      <c r="F160" s="21" t="inlineStr">
        <is>
          <t>C7</t>
        </is>
      </c>
      <c r="G160" s="22" t="n"/>
      <c r="H160" s="23" t="n"/>
      <c r="I160" s="23" t="n"/>
      <c r="J160" s="23" t="n"/>
      <c r="K160" s="23" t="n"/>
    </row>
    <row r="161" ht="30" customHeight="1">
      <c r="A161" s="18" t="inlineStr">
        <is>
          <t>M-05</t>
        </is>
      </c>
      <c r="B161" s="19" t="inlineStr">
        <is>
          <t>At what level of performance shortfall may we reject the equipment, and what is the remedy — repair, replace, buy-back, or price reduction?</t>
        </is>
      </c>
      <c r="C161" s="19" t="inlineStr">
        <is>
          <t>The rejection threshold is the backstop when the technology does not deliver.</t>
        </is>
      </c>
      <c r="D161" s="19" t="inlineStr">
        <is>
          <t>Rejection threshold and remedy wording</t>
        </is>
      </c>
      <c r="E161" s="20" t="inlineStr">
        <is>
          <t>Critical</t>
        </is>
      </c>
      <c r="F161" s="21" t="inlineStr">
        <is>
          <t>C7</t>
        </is>
      </c>
      <c r="G161" s="22" t="n"/>
      <c r="H161" s="23" t="n"/>
      <c r="I161" s="23" t="n"/>
      <c r="J161" s="23" t="n"/>
      <c r="K161" s="23" t="n"/>
    </row>
    <row r="162" ht="46" customHeight="1">
      <c r="A162" s="18" t="inlineStr">
        <is>
          <t>M-06</t>
        </is>
      </c>
      <c r="B162" s="19" t="inlineStr">
        <is>
          <t>State the warranty period (months from commercial operation or operating hours, whichever first), its scope, and confirm whether ammonia-specific parts carry the same warranty as standard parts.</t>
        </is>
      </c>
      <c r="C162" s="19" t="inlineStr">
        <is>
          <t>Ammonia-specific parts are exactly where an exclusion would be inserted.</t>
        </is>
      </c>
      <c r="D162" s="19" t="inlineStr">
        <is>
          <t>Warranty terms with any carve-outs</t>
        </is>
      </c>
      <c r="E162" s="20" t="inlineStr">
        <is>
          <t>Critical</t>
        </is>
      </c>
      <c r="F162" s="21" t="inlineStr">
        <is>
          <t>C7</t>
        </is>
      </c>
      <c r="G162" s="22" t="n"/>
      <c r="H162" s="23" t="n"/>
      <c r="I162" s="23" t="n"/>
      <c r="J162" s="23" t="n"/>
      <c r="K162" s="23" t="n"/>
    </row>
    <row r="163" ht="46" customHeight="1">
      <c r="A163" s="18" t="inlineStr">
        <is>
          <t>M-07</t>
        </is>
      </c>
      <c r="B163" s="19" t="inlineStr">
        <is>
          <t>Describe the long-term service agreement offering: structure ($/MWh, $/operating hour, fixed plus variable), term, availability guarantee, LDs and bonus, and whether it covers ammonia-specific consumables, injectors and catalyst.</t>
        </is>
      </c>
      <c r="C163" s="19" t="inlineStr">
        <is>
          <t>The LTSA is where ammonia lifecycle risk can be transferred — or excluded.</t>
        </is>
      </c>
      <c r="D163" s="19" t="inlineStr">
        <is>
          <t>Draft LTSA term sheet</t>
        </is>
      </c>
      <c r="E163" s="20" t="inlineStr">
        <is>
          <t>Critical</t>
        </is>
      </c>
      <c r="F163" s="21" t="inlineStr">
        <is>
          <t>C7</t>
        </is>
      </c>
      <c r="G163" s="22" t="n"/>
      <c r="H163" s="23" t="n"/>
      <c r="I163" s="23" t="n"/>
      <c r="J163" s="23" t="n"/>
      <c r="K163" s="23" t="n"/>
    </row>
    <row r="164" ht="46" customHeight="1">
      <c r="A164" s="18" t="inlineStr">
        <is>
          <t>M-08</t>
        </is>
      </c>
      <c r="B164" s="19" t="inlineStr">
        <is>
          <t>Will you offer an availability guarantee for operation ON AMMONIA, or only for operation on the back-up fuel? If ammonia-mode availability is not guaranteed, state that explicitly.</t>
        </is>
      </c>
      <c r="C164" s="19" t="inlineStr">
        <is>
          <t>The most important single contractual question for this technology. A refusal here is informative, not disqualifying — but it must be explicit.</t>
        </is>
      </c>
      <c r="D164" s="19" t="inlineStr">
        <is>
          <t>Explicit written position</t>
        </is>
      </c>
      <c r="E164" s="20" t="inlineStr">
        <is>
          <t>Critical</t>
        </is>
      </c>
      <c r="F164" s="21" t="inlineStr">
        <is>
          <t>C7</t>
        </is>
      </c>
      <c r="G164" s="22" t="n"/>
      <c r="H164" s="23" t="n"/>
      <c r="I164" s="23" t="n"/>
      <c r="J164" s="23" t="n"/>
      <c r="K164" s="23" t="n"/>
    </row>
    <row r="165" ht="46" customHeight="1">
      <c r="A165" s="18" t="inlineStr">
        <is>
          <t>M-09</t>
        </is>
      </c>
      <c r="B165" s="19" t="inlineStr">
        <is>
          <t>What security will you provide: parent company guarantee, advance payment bond, performance bond, warranty bond? State issuer, amount and validity for each.</t>
        </is>
      </c>
      <c r="C165" s="19" t="inlineStr">
        <is>
          <t>Security converts contractual promises into recoverable value.</t>
        </is>
      </c>
      <c r="D165" s="19" t="inlineStr">
        <is>
          <t>Security package proposal</t>
        </is>
      </c>
      <c r="E165" s="20" t="inlineStr">
        <is>
          <t>Critical</t>
        </is>
      </c>
      <c r="F165" s="21" t="inlineStr">
        <is>
          <t>C7</t>
        </is>
      </c>
      <c r="G165" s="22" t="n"/>
      <c r="H165" s="23" t="n"/>
      <c r="I165" s="23" t="n"/>
      <c r="J165" s="23" t="n"/>
      <c r="K165" s="23" t="n"/>
    </row>
    <row r="166" ht="30" customHeight="1">
      <c r="A166" s="18" t="inlineStr">
        <is>
          <t>M-10</t>
        </is>
      </c>
      <c r="B166" s="19" t="inlineStr">
        <is>
          <t>Give the payment milestone schedule and cash-flow profile, and confirm whether any slot reservation payment is refundable.</t>
        </is>
      </c>
      <c r="C166" s="19" t="inlineStr">
        <is>
          <t>Payment profile is a real risk transfer mechanism and affects project financing.</t>
        </is>
      </c>
      <c r="D166" s="19" t="inlineStr">
        <is>
          <t>Payment schedule</t>
        </is>
      </c>
      <c r="E166" s="24" t="inlineStr">
        <is>
          <t>High</t>
        </is>
      </c>
      <c r="F166" s="21" t="inlineStr">
        <is>
          <t>C7</t>
        </is>
      </c>
      <c r="G166" s="22" t="n"/>
      <c r="H166" s="23" t="n"/>
      <c r="I166" s="23" t="n"/>
      <c r="J166" s="23" t="n"/>
      <c r="K166" s="23" t="n"/>
    </row>
    <row r="167" ht="30" customHeight="1">
      <c r="A167" s="18" t="inlineStr">
        <is>
          <t>M-11</t>
        </is>
      </c>
      <c r="B167" s="19" t="inlineStr">
        <is>
          <t>State price validity, currency, and how you propose to handle raw material and supply chain escalation.</t>
        </is>
      </c>
      <c r="C167" s="19" t="inlineStr">
        <is>
          <t>Long-lead equipment in a constrained market attracts escalation clauses; they must be bounded.</t>
        </is>
      </c>
      <c r="D167" s="19" t="inlineStr">
        <is>
          <t>Price validity and escalation formula</t>
        </is>
      </c>
      <c r="E167" s="24" t="inlineStr">
        <is>
          <t>High</t>
        </is>
      </c>
      <c r="F167" s="21" t="inlineStr">
        <is>
          <t>C7</t>
        </is>
      </c>
      <c r="G167" s="22" t="n"/>
      <c r="H167" s="23" t="n"/>
      <c r="I167" s="23" t="n"/>
      <c r="J167" s="23" t="n"/>
      <c r="K167" s="23" t="n"/>
    </row>
    <row r="168" ht="62" customHeight="1">
      <c r="A168" s="18" t="inlineStr">
        <is>
          <t>M-12</t>
        </is>
      </c>
      <c r="B168" s="19" t="inlineStr">
        <is>
          <t>For a first-of-a-kind unit, will you accept technology risk sharing — staged acceptance (commercial operation on pilot fuel, then a separate ammonia acceptance), a bounded fuel-flexibility bridge period, or a make-good obligation if ammonia mode underperforms?</t>
        </is>
      </c>
      <c r="C168" s="19" t="inlineStr">
        <is>
          <t>This is the structural answer to FOAK risk: separate the plant's revenue start from the ammonia technology proof.</t>
        </is>
      </c>
      <c r="D168" s="19" t="inlineStr">
        <is>
          <t>Risk sharing proposal</t>
        </is>
      </c>
      <c r="E168" s="20" t="inlineStr">
        <is>
          <t>Critical</t>
        </is>
      </c>
      <c r="F168" s="21" t="inlineStr">
        <is>
          <t>C7</t>
        </is>
      </c>
      <c r="G168" s="22" t="n"/>
      <c r="H168" s="23" t="n"/>
      <c r="I168" s="23" t="n"/>
      <c r="J168" s="23" t="n"/>
      <c r="K168" s="23" t="n"/>
    </row>
    <row r="169" ht="46" customHeight="1">
      <c r="A169" s="18" t="inlineStr">
        <is>
          <t>M-13</t>
        </is>
      </c>
      <c r="B169" s="19" t="inlineStr">
        <is>
          <t>What is insurable on an ammonia engine plant today? Have you engaged insurers or underwriters, and can they support construction all-risk and delay-in-start-up cover for a first-of-a-kind ammonia unit?</t>
        </is>
      </c>
      <c r="C169" s="19" t="inlineStr">
        <is>
          <t>Insurability is often the binding constraint on FOAK technology, ahead of any engineering issue.</t>
        </is>
      </c>
      <c r="D169" s="19" t="inlineStr">
        <is>
          <t>Insurer engagement evidence; broker letter</t>
        </is>
      </c>
      <c r="E169" s="20" t="inlineStr">
        <is>
          <t>Critical</t>
        </is>
      </c>
      <c r="F169" s="21" t="inlineStr">
        <is>
          <t>C7</t>
        </is>
      </c>
      <c r="G169" s="22" t="n"/>
      <c r="H169" s="23" t="n"/>
      <c r="I169" s="23" t="n"/>
      <c r="J169" s="23" t="n"/>
      <c r="K169" s="23" t="n"/>
    </row>
    <row r="170" ht="46" customHeight="1">
      <c r="A170" s="18" t="inlineStr">
        <is>
          <t>M-14</t>
        </is>
      </c>
      <c r="B170" s="19" t="inlineStr">
        <is>
          <t>If you exit or discontinue the ammonia product line, what continuity do we have — escrow of drawings and control software, licence to a third party, guaranteed spares supply?</t>
        </is>
      </c>
      <c r="C170" s="19" t="inlineStr">
        <is>
          <t>Protects a 20-year asset against a 5-year product decision.</t>
        </is>
      </c>
      <c r="D170" s="19" t="inlineStr">
        <is>
          <t>Escrow and continuity proposal</t>
        </is>
      </c>
      <c r="E170" s="24" t="inlineStr">
        <is>
          <t>High</t>
        </is>
      </c>
      <c r="F170" s="21" t="inlineStr">
        <is>
          <t>C7</t>
        </is>
      </c>
      <c r="G170" s="22" t="n"/>
      <c r="H170" s="23" t="n"/>
      <c r="I170" s="23" t="n"/>
      <c r="J170" s="23" t="n"/>
      <c r="K170" s="23" t="n"/>
    </row>
    <row r="171" ht="46" customHeight="1">
      <c r="A171" s="18" t="inlineStr">
        <is>
          <t>M-15</t>
        </is>
      </c>
      <c r="B171" s="19" t="inlineStr">
        <is>
          <t>State your position on force majeure and change in law, particularly changes to Singaporean or Malaysian emissions limits or ammonia handling regulation.</t>
        </is>
      </c>
      <c r="C171" s="19" t="inlineStr">
        <is>
          <t>Regulation for ammonia power is immature and will move during the asset's life.</t>
        </is>
      </c>
      <c r="D171" s="19" t="inlineStr">
        <is>
          <t>Force majeure and change in law clauses</t>
        </is>
      </c>
      <c r="E171" s="24" t="inlineStr">
        <is>
          <t>High</t>
        </is>
      </c>
      <c r="F171" s="21" t="inlineStr">
        <is>
          <t>C7</t>
        </is>
      </c>
      <c r="G171" s="22" t="n"/>
      <c r="H171" s="23" t="n"/>
      <c r="I171" s="23" t="n"/>
      <c r="J171" s="23" t="n"/>
      <c r="K171" s="23" t="n"/>
    </row>
    <row r="172" ht="30" customHeight="1">
      <c r="A172" s="18" t="inlineStr">
        <is>
          <t>M-16</t>
        </is>
      </c>
      <c r="B172" s="19" t="inlineStr">
        <is>
          <t>State your proposed dispute resolution mechanism, governing law and seat of arbitration.</t>
        </is>
      </c>
      <c r="C172" s="19" t="inlineStr">
        <is>
          <t>Standard, but sets the cost of enforcing everything above.</t>
        </is>
      </c>
      <c r="D172" s="19" t="inlineStr">
        <is>
          <t>Proposed legal terms</t>
        </is>
      </c>
      <c r="E172" s="25" t="inlineStr">
        <is>
          <t>Medium</t>
        </is>
      </c>
      <c r="F172" s="21" t="inlineStr">
        <is>
          <t>C7</t>
        </is>
      </c>
      <c r="G172" s="22" t="n"/>
      <c r="H172" s="23" t="n"/>
      <c r="I172" s="23" t="n"/>
      <c r="J172" s="23" t="n"/>
      <c r="K172" s="23" t="n"/>
    </row>
    <row r="174" ht="22" customHeight="1">
      <c r="A174" s="16" t="inlineStr">
        <is>
          <t>N — Commercial basis</t>
        </is>
      </c>
      <c r="B174" s="17" t="n"/>
      <c r="C174" s="17" t="n"/>
      <c r="D174" s="17" t="n"/>
      <c r="E174" s="17" t="n"/>
      <c r="F174" s="17" t="n"/>
      <c r="G174" s="17" t="n"/>
      <c r="H174" s="17" t="n"/>
      <c r="I174" s="17" t="n"/>
      <c r="J174" s="17" t="n"/>
      <c r="K174" s="17" t="n"/>
    </row>
    <row r="175" ht="30" customHeight="1">
      <c r="A175" s="18" t="inlineStr">
        <is>
          <t>N-01</t>
        </is>
      </c>
      <c r="B175" s="19" t="inlineStr">
        <is>
          <t>Give a budget price for the offered configuration, with the scope explicitly stated (equipment only versus installed).</t>
        </is>
      </c>
      <c r="C175" s="19" t="inlineStr">
        <is>
          <t>Prices are meaningless without a stated scope boundary.</t>
        </is>
      </c>
      <c r="D175" s="19" t="inlineStr">
        <is>
          <t>Budget quotation with scope statement</t>
        </is>
      </c>
      <c r="E175" s="20" t="inlineStr">
        <is>
          <t>Critical</t>
        </is>
      </c>
      <c r="F175" s="21" t="inlineStr">
        <is>
          <t>C10</t>
        </is>
      </c>
      <c r="G175" s="22" t="n"/>
      <c r="H175" s="23" t="n"/>
      <c r="I175" s="23" t="n"/>
      <c r="J175" s="23" t="n"/>
      <c r="K175" s="23" t="n"/>
    </row>
    <row r="176" ht="30" customHeight="1">
      <c r="A176" s="18" t="inlineStr">
        <is>
          <t>N-02</t>
        </is>
      </c>
      <c r="B176" s="19" t="inlineStr">
        <is>
          <t>Break the price down: engine and genset, ammonia fuel skid, after-treatment train, controls, erection and commissioning, spares, training.</t>
        </is>
      </c>
      <c r="C176" s="19" t="inlineStr">
        <is>
          <t>Enables like-for-like comparison between OEMs with different scope conventions.</t>
        </is>
      </c>
      <c r="D176" s="19" t="inlineStr">
        <is>
          <t>Priced scope breakdown</t>
        </is>
      </c>
      <c r="E176" s="20" t="inlineStr">
        <is>
          <t>Critical</t>
        </is>
      </c>
      <c r="F176" s="21" t="inlineStr">
        <is>
          <t>C10</t>
        </is>
      </c>
      <c r="G176" s="22" t="n"/>
      <c r="H176" s="23" t="n"/>
      <c r="I176" s="23" t="n"/>
      <c r="J176" s="23" t="n"/>
      <c r="K176" s="23" t="n"/>
    </row>
    <row r="177" ht="46" customHeight="1">
      <c r="A177" s="18" t="inlineStr">
        <is>
          <t>N-03</t>
        </is>
      </c>
      <c r="B177" s="19" t="inlineStr">
        <is>
          <t>State the AMMONIA PREMIUM explicitly: the delta in $/kW versus an equivalent natural gas genset of the same output from your own range.</t>
        </is>
      </c>
      <c r="C177" s="19" t="inlineStr">
        <is>
          <t>Isolates the cost of ammonia capability from the cost of the power plant. Note this premium is not published anywhere for ammonia engines — it must come from the OEM.</t>
        </is>
      </c>
      <c r="D177" s="19" t="inlineStr">
        <is>
          <t>Ammonia premium statement with basis</t>
        </is>
      </c>
      <c r="E177" s="20" t="inlineStr">
        <is>
          <t>Critical</t>
        </is>
      </c>
      <c r="F177" s="21" t="inlineStr">
        <is>
          <t>C10</t>
        </is>
      </c>
      <c r="G177" s="22" t="n"/>
      <c r="H177" s="23" t="n"/>
      <c r="I177" s="23" t="n"/>
      <c r="J177" s="23" t="n"/>
      <c r="K177" s="23" t="n"/>
    </row>
    <row r="178" ht="30" customHeight="1">
      <c r="A178" s="18" t="inlineStr">
        <is>
          <t>N-04</t>
        </is>
      </c>
      <c r="B178" s="19" t="inlineStr">
        <is>
          <t>State the operations and maintenance cost basis on ammonia in $/MWh or $/operating hour, split fixed and variable, with exclusions listed.</t>
        </is>
      </c>
      <c r="C178" s="19" t="inlineStr">
        <is>
          <t>Ammonia OPEX (catalyst, injectors, lube oil, pilot fuel) is the least visible part of lifecycle cost.</t>
        </is>
      </c>
      <c r="D178" s="19" t="inlineStr">
        <is>
          <t>O&amp;M cost model</t>
        </is>
      </c>
      <c r="E178" s="20" t="inlineStr">
        <is>
          <t>Critical</t>
        </is>
      </c>
      <c r="F178" s="21" t="inlineStr">
        <is>
          <t>C10</t>
        </is>
      </c>
      <c r="G178" s="22" t="n"/>
      <c r="H178" s="23" t="n"/>
      <c r="I178" s="23" t="n"/>
      <c r="J178" s="23" t="n"/>
      <c r="K178" s="23" t="n"/>
    </row>
    <row r="179" ht="46" customHeight="1">
      <c r="A179" s="18" t="inlineStr">
        <is>
          <t>N-05</t>
        </is>
      </c>
      <c r="B179" s="19" t="inlineStr">
        <is>
          <t>Give consumables costs: pilot fuel, SCR reagent, nitrogen, catalyst replacement, and lubricating oil — noting any higher lube oil consumption on ammonia.</t>
        </is>
      </c>
      <c r="C179" s="19" t="inlineStr">
        <is>
          <t>These are the recurring costs that differ most from a natural gas engine.</t>
        </is>
      </c>
      <c r="D179" s="19" t="inlineStr">
        <is>
          <t>Consumables consumption and cost schedule</t>
        </is>
      </c>
      <c r="E179" s="24" t="inlineStr">
        <is>
          <t>High</t>
        </is>
      </c>
      <c r="F179" s="21" t="inlineStr">
        <is>
          <t>C10</t>
        </is>
      </c>
      <c r="G179" s="22" t="n"/>
      <c r="H179" s="23" t="n"/>
      <c r="I179" s="23" t="n"/>
      <c r="J179" s="23" t="n"/>
      <c r="K179" s="23" t="n"/>
    </row>
    <row r="180" ht="15" customHeight="1">
      <c r="A180" s="18" t="inlineStr">
        <is>
          <t>N-06</t>
        </is>
      </c>
      <c r="B180" s="19" t="inlineStr">
        <is>
          <t>State price validity and what would cause it to change.</t>
        </is>
      </c>
      <c r="C180" s="19" t="inlineStr">
        <is>
          <t>Sets the decision window.</t>
        </is>
      </c>
      <c r="D180" s="19" t="inlineStr">
        <is>
          <t>Validity statement</t>
        </is>
      </c>
      <c r="E180" s="25" t="inlineStr">
        <is>
          <t>Medium</t>
        </is>
      </c>
      <c r="F180" s="21" t="inlineStr">
        <is>
          <t>C10</t>
        </is>
      </c>
      <c r="G180" s="22" t="n"/>
      <c r="H180" s="23" t="n"/>
      <c r="I180" s="23" t="n"/>
      <c r="J180" s="23" t="n"/>
      <c r="K180" s="23" t="n"/>
    </row>
  </sheetData>
  <autoFilter ref="A4:K180"/>
  <mergeCells count="15">
    <mergeCell ref="A145:K145"/>
    <mergeCell ref="A101:K101"/>
    <mergeCell ref="A77:K77"/>
    <mergeCell ref="A29:K29"/>
    <mergeCell ref="A156:K156"/>
    <mergeCell ref="A113:K113"/>
    <mergeCell ref="A2:K2"/>
    <mergeCell ref="A49:K49"/>
    <mergeCell ref="A63:K63"/>
    <mergeCell ref="A125:K125"/>
    <mergeCell ref="A174:K174"/>
    <mergeCell ref="A133:K133"/>
    <mergeCell ref="A5:K5"/>
    <mergeCell ref="A17:K17"/>
    <mergeCell ref="A89:K89"/>
  </mergeCells>
  <dataValidations count="1">
    <dataValidation sqref="K5:K180" showDropDown="0" showInputMessage="0" showErrorMessage="0" allowBlank="1" type="list">
      <formula1>"Answered,Partial,Refused,Not asked,N/A"</formula1>
    </dataValidation>
  </dataValidations>
  <pageMargins left="0.75" right="0.75" top="1" bottom="1" header="0.5" footer="0.5"/>
</worksheet>
</file>

<file path=xl/worksheets/sheet3.xml><?xml version="1.0" encoding="utf-8"?>
<worksheet xmlns="http://schemas.openxmlformats.org/spreadsheetml/2006/main">
  <sheetPr>
    <tabColor rgb="00375623"/>
    <outlinePr summaryBelow="1" summaryRight="1"/>
    <pageSetUpPr/>
  </sheetPr>
  <dimension ref="A1:H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9" customWidth="1" min="3" max="3"/>
    <col width="40" customWidth="1" min="4" max="4"/>
    <col width="44" customWidth="1" min="5" max="5"/>
    <col width="44" customWidth="1" min="6" max="6"/>
    <col width="44" customWidth="1" min="7" max="7"/>
    <col width="34" customWidth="1" min="8" max="8"/>
  </cols>
  <sheetData>
    <row r="1" ht="20" customHeight="1">
      <c r="A1" s="1" t="inlineStr">
        <is>
          <t>Sheet 2 — Assessment Criteria, Weights &amp; Scoring Rubric</t>
        </is>
      </c>
    </row>
    <row r="2" ht="26" customHeight="1">
      <c r="A2" s="2" t="inlineStr">
        <is>
          <t>Ten weighted criteria on a 1-5 scale. Weights below are a PROPOSED starting point reflecting that, for ammonia 4-stroke engines today, demonstrated maturity and de-risking matter more than a point efficiency number — adjust them before scoring. Weights must total 100%. Score anchors are defined at 1, 3 and 5; score 2 and 4 by interpolation.</t>
        </is>
      </c>
    </row>
    <row r="4" ht="40" customHeight="1">
      <c r="A4" s="14" t="inlineStr">
        <is>
          <t>Ref</t>
        </is>
      </c>
      <c r="B4" s="14" t="inlineStr">
        <is>
          <t>Criterion</t>
        </is>
      </c>
      <c r="C4" s="14" t="inlineStr">
        <is>
          <t>Weight</t>
        </is>
      </c>
      <c r="D4" s="14" t="inlineStr">
        <is>
          <t>What it measures / source questions</t>
        </is>
      </c>
      <c r="E4" s="14" t="inlineStr">
        <is>
          <t>Score 1 — unacceptable</t>
        </is>
      </c>
      <c r="F4" s="14" t="inlineStr">
        <is>
          <t>Score 3 — acceptable</t>
        </is>
      </c>
      <c r="G4" s="14" t="inlineStr">
        <is>
          <t>Score 5 — strong</t>
        </is>
      </c>
      <c r="H4" s="14" t="inlineStr">
        <is>
          <t>Evidence required to score</t>
        </is>
      </c>
    </row>
    <row r="5" ht="72" customHeight="1">
      <c r="A5" s="26" t="inlineStr">
        <is>
          <t>C1</t>
        </is>
      </c>
      <c r="B5" s="27" t="inlineStr">
        <is>
          <t>Ammonia combustion system maturity &amp; robustness</t>
        </is>
      </c>
      <c r="C5" s="28" t="n">
        <v>0.16</v>
      </c>
      <c r="D5" s="19" t="inlineStr">
        <is>
          <t>Combustion concept, ignition/pilot strategy, flame-speed engineering, per-cylinder control, combustion stability, materials and lube-oil compatibility, deposits. Questions C-01 to C-18, B-06.</t>
        </is>
      </c>
      <c r="E5" s="29" t="inlineStr">
        <is>
          <t>Concept-stage or single-cylinder evidence only; no per-cylinder combustion sensing; no COV(IMEP) or misfire data offered; lube-oil and materials compatibility unaddressed.</t>
        </is>
      </c>
      <c r="F5" s="30" t="inlineStr">
        <is>
          <t>Multi-cylinder engine running at the offered ammonia share on a testbed; per-cylinder sensing present; COV(IMEP) and misfire data provided; lube-oil spec defined with some endurance evidence.</t>
        </is>
      </c>
      <c r="G5" s="31" t="inlineStr">
        <is>
          <t>Multi-thousand hours on multi-cylinder hardware with teardown evidence; closed-loop per-cylinder combustion control; measured stability across the full load range; type approval held; lube oil, materials and deposits all evidenced from endurance runs.</t>
        </is>
      </c>
      <c r="H5" s="19" t="inlineStr">
        <is>
          <t>Testbed reports, COV(IMEP) data, teardown/inspection reports, FMEA extract, type approval certificate, lube-oil analyses.</t>
        </is>
      </c>
    </row>
    <row r="6" ht="72" customHeight="1">
      <c r="A6" s="26" t="inlineStr">
        <is>
          <t>C2</t>
        </is>
      </c>
      <c r="B6" s="27" t="inlineStr">
        <is>
          <t>Technology readiness &amp; demonstrated evidence</t>
        </is>
      </c>
      <c r="C6" s="28" t="n">
        <v>0.15</v>
      </c>
      <c r="D6" s="19" t="inlineStr">
        <is>
          <t>TRL by subsystem, accumulated ammonia hours split by rig/testbed/field, reference fleet, independent verification, marine-to-stationary delta. Questions A-01 to A-10, C-16, C-17, H-07, J-01 to J-06.</t>
        </is>
      </c>
      <c r="E6" s="29" t="inlineStr">
        <is>
          <t>No multi-cylinder ammonia hours; no reference unit; no third-party verification; product classified as R&amp;D with no committed commercial release date.</t>
        </is>
      </c>
      <c r="F6" s="30" t="inlineStr">
        <is>
          <t>Multi-cylinder ammonia hours accumulated and a first reference unit contracted or under construction; committed release date with defined gates; some independent verification.</t>
        </is>
      </c>
      <c r="G6" s="31" t="inlineStr">
        <is>
          <t>Ammonia units in commercial service with published cumulative hours; stationary reference available to visit; independent verification of performance and emissions; TRL stated and justified per subsystem.</t>
        </is>
      </c>
      <c r="H6" s="19" t="inlineStr">
        <is>
          <t>Fleet list with hours, reference contacts, third-party verification report, TRL assessment, class/type certificates.</t>
        </is>
      </c>
    </row>
    <row r="7" ht="72" customHeight="1">
      <c r="A7" s="26" t="inlineStr">
        <is>
          <t>C3</t>
        </is>
      </c>
      <c r="B7" s="27" t="inlineStr">
        <is>
          <t>Fuel transition integrity &amp; loss-of-firing behaviour</t>
        </is>
      </c>
      <c r="C7" s="28" t="n">
        <v>0.11</v>
      </c>
      <c r="D7" s="19" t="inlineStr">
        <is>
          <t>Mode map, transition ramp and window, electrical disturbance, measured flame-loss rate, automatic reversion, unburnt-ammonia excursion handling, failure matrix. Questions C-09, C-10, E-01 to E-12, D-11.</t>
        </is>
      </c>
      <c r="E7" s="29" t="inlineStr">
        <is>
          <t>Transition behaviour described only qualitatively; no measured flame-loss data; reversion is manual or trips the unit; unburnt-ammonia excursion path not analysed.</t>
        </is>
      </c>
      <c r="F7" s="30" t="inlineStr">
        <is>
          <t>Transition sequence defined with a stated load window and ramp rate; automatic reversion to pilot fuel demonstrated on the testbed; purge sequence defined; failure matrix provided.</t>
        </is>
      </c>
      <c r="G7" s="31" t="inlineStr">
        <is>
          <t>Grid-connected transition traces showing bumpless, load-holding changeover; measured flame-loss rate from a documented test programme; automatic reversion offered as a contractual guarantee; exhaust excursion HAZOP-closed.</t>
        </is>
      </c>
      <c r="H7" s="19" t="inlineStr">
        <is>
          <t>Transition test traces, event logs, cause-and-effect / trip matrix, purge sequence, HAZOP node on misfire.</t>
        </is>
      </c>
    </row>
    <row r="8" ht="72" customHeight="1">
      <c r="A8" s="26" t="inlineStr">
        <is>
          <t>C4</t>
        </is>
      </c>
      <c r="B8" s="27" t="inlineStr">
        <is>
          <t>Efficiency &amp; performance on ammonia</t>
        </is>
      </c>
      <c r="C8" s="28" t="n">
        <v>0.11</v>
      </c>
      <c r="D8" s="19" t="inlineStr">
        <is>
          <t>Guaranteed net efficiency and heat rate at four load points, site-ambient derate, part-load curve, transient and ramp performance, degradation, package parasitics. Questions B-01 to B-05, D-09, F-01 to F-10, E-11.</t>
        </is>
      </c>
      <c r="E8" s="29" t="inlineStr">
        <is>
          <t>Catalogue efficiency only, no guarantee, no site-condition correction, no part-load data, parasitic loads undisclosed.</t>
        </is>
      </c>
      <c r="F8" s="30" t="inlineStr">
        <is>
          <t>Guaranteed net efficiency at rated load with a named test standard and tolerance; part-load curve and ambient derate provided; parasitics disclosed.</t>
        </is>
      </c>
      <c r="G8" s="31" t="inlineStr">
        <is>
          <t>Guaranteed net efficiency at all four load points at site ambient, with correction curves, degradation cap and full parasitic disclosure; part-load flatness and transient response evidenced by test data.</t>
        </is>
      </c>
      <c r="H8" s="19" t="inlineStr">
        <is>
          <t>Guarantee schedule with test standard and correction curves, heat and mass balance, derate curves, transient test traces.</t>
        </is>
      </c>
    </row>
    <row r="9" ht="72" customHeight="1">
      <c r="A9" s="26" t="inlineStr">
        <is>
          <t>C5</t>
        </is>
      </c>
      <c r="B9" s="27" t="inlineStr">
        <is>
          <t>Emissions &amp; GHG integrity (NOx, N2O, ammonia slip)</t>
        </is>
      </c>
      <c r="C9" s="28" t="n">
        <v>0.1</v>
      </c>
      <c r="D9" s="19" t="inlineStr">
        <is>
          <t>Measured raw and treated emissions, dedicated N2O catalyst, catalyst temperature window, transient and start-up emissions, regulatory basis, CEMS scope. Questions G-01 to G-10.</t>
        </is>
      </c>
      <c r="E9" s="29" t="inlineStr">
        <is>
          <t>Only treated values at rated load offered; no N2O data; no dedicated N2O catalyst; ammonia slip not measured; no regulatory compliance basis named.</t>
        </is>
      </c>
      <c r="F9" s="30" t="inlineStr">
        <is>
          <t>Measured raw and treated NOx, N2O and slip at rated load; three-bed after-treatment defined; a named regulatory limit set targeted; slip included in the CEMS scope.</t>
        </is>
      </c>
      <c r="G9" s="31" t="inlineStr">
        <is>
          <t>Measured raw and treated values across the full load range including transitions and start-up; dedicated N2O catalyst with life data; emissions guaranteed against a named Singapore or Malaysia limit set already demonstrated in practice.</t>
        </is>
      </c>
      <c r="H9" s="19" t="inlineStr">
        <is>
          <t>Measured emissions report with O2 reference, catalyst data sheets, transient emissions data, guarantee schedule, CEMS spec.</t>
        </is>
      </c>
    </row>
    <row r="10" ht="72" customHeight="1">
      <c r="A10" s="26" t="inlineStr">
        <is>
          <t>C6</t>
        </is>
      </c>
      <c r="B10" s="27" t="inlineStr">
        <is>
          <t>Ammonia fuel supply system &amp; safety design</t>
        </is>
      </c>
      <c r="C10" s="28" t="n">
        <v>0.09</v>
      </c>
      <c r="D10" s="19" t="inlineStr">
        <is>
          <t>Fuel train scope and P&amp;ID, fuel quality spec, purge/inerting, vent treatment, double-wall and ppm detection, toxicity-based layout, HAZOP/QRA, SIL. Questions D-01 to D-12, H-01 to H-10, L-05.</t>
        </is>
      </c>
      <c r="E10" s="29" t="inlineStr">
        <is>
          <t>Fuel system scope undefined or excluded; no fuel quality spec; venting to atmosphere assumed; no HAZOP or QRA on the package; safety functions not SIL-assessed.</t>
        </is>
      </c>
      <c r="F10" s="30" t="inlineStr">
        <is>
          <t>Complete fuel skid P&amp;ID and battery limits; fuel quality spec defined; vent treatment in scope; ppm-level detection philosophy; HAZOP performed.</t>
        </is>
      </c>
      <c r="G10" s="31" t="inlineStr">
        <is>
          <t>Fully productised fuel system with closed-out HAZOP/QRA, SIL-verified shutdown functions, defined residual release scenario, certified fuel system, and prior permitting precedent in a comparable jurisdiction.</t>
        </is>
      </c>
      <c r="H10" s="19" t="inlineStr">
        <is>
          <t>P&amp;ID, battery limit schedule, fuel spec, HAZID/HAZOP/QRA reports with action register, SIL assessment, certificates.</t>
        </is>
      </c>
    </row>
    <row r="11" ht="72" customHeight="1">
      <c r="A11" s="26" t="inlineStr">
        <is>
          <t>C7</t>
        </is>
      </c>
      <c r="B11" s="27" t="inlineStr">
        <is>
          <t>Contractual de-risking: guarantees, LDs, LTSA, security</t>
        </is>
      </c>
      <c r="C11" s="28" t="n">
        <v>0.1</v>
      </c>
      <c r="D11" s="19" t="inlineStr">
        <is>
          <t>Guarantee list and test basis, LD rates and caps, liability cap, rejection threshold, warranty, LTSA, bonds, FOAK risk sharing, insurability, continuity. Questions A-01, A-08, I-07, J-05, M-01 to M-16.</t>
        </is>
      </c>
      <c r="E11" s="29" t="inlineStr">
        <is>
          <t>Guarantees limited to back-up-fuel operation; ammonia share, N2O or ammonia-mode availability excluded; no LDs on performance; no security package; no FOAK risk sharing offered; insurability unaddressed.</t>
        </is>
      </c>
      <c r="F11" s="30" t="inlineStr">
        <is>
          <t>Output, efficiency and NOx guaranteed on ammonia with a defined test procedure; delay and performance LDs offered with caps; standard warranty and bonds; LTSA available.</t>
        </is>
      </c>
      <c r="G11" s="31" t="inlineStr">
        <is>
          <t>Full guarantee set including ammonia energy share, N2O, ammonia slip and AMMONIA-MODE availability; performance and delay LDs with a rejection threshold; LTSA covering ammonia-specific consumables; parent company guarantee; explicit FOAK risk sharing (staged acceptance / make-good) and evidence of insurer engagement.</t>
        </is>
      </c>
      <c r="H11" s="19" t="inlineStr">
        <is>
          <t>Draft guarantee schedule, performance test procedure, LD and liability terms, LTSA term sheet, security package, broker/insurer letter.</t>
        </is>
      </c>
    </row>
    <row r="12" ht="72" customHeight="1">
      <c r="A12" s="26" t="inlineStr">
        <is>
          <t>C8</t>
        </is>
      </c>
      <c r="B12" s="27" t="inlineStr">
        <is>
          <t>Schedule certainty &amp; long-lead exposure</t>
        </is>
      </c>
      <c r="C12" s="28" t="n">
        <v>0.07000000000000001</v>
      </c>
      <c r="D12" s="19" t="inlineStr">
        <is>
          <t>Long-lead register, critical path, production slot availability and terms, Level 2 schedule, FAT scope including ammonia firing, commissioning prerequisites. Questions I-06, K-01 to K-10.</t>
        </is>
      </c>
      <c r="E12" s="29" t="inlineStr">
        <is>
          <t>No lead times offered; no production slot visibility; no Level 2 schedule; FAT scope undefined; commissioning prerequisites not stated.</t>
        </is>
      </c>
      <c r="F12" s="30" t="inlineStr">
        <is>
          <t>Long-lead items listed with current lead times; a production slot identified with reservation terms; Level 2 schedule provided; FAT scope defined.</t>
        </is>
      </c>
      <c r="G12" s="31" t="inlineStr">
        <is>
          <t>Full long-lead register with sub-suppliers and single-source flags; firm slot with reasonable reservation terms; Level 2 schedule with float analysis; ammonia fired at the works during FAT; commissioning prerequisites and commissioning-fuel supply resolved.</t>
        </is>
      </c>
      <c r="H12" s="19" t="inlineStr">
        <is>
          <t>Long-lead register, production slot chart and terms, native Level 2 schedule, FAT procedure, commissioning plan.</t>
        </is>
      </c>
    </row>
    <row r="13" ht="72" customHeight="1">
      <c r="A13" s="26" t="inlineStr">
        <is>
          <t>C9</t>
        </is>
      </c>
      <c r="B13" s="27" t="inlineStr">
        <is>
          <t>Reliability, availability, maintainability &amp; regional support</t>
        </is>
      </c>
      <c r="C13" s="28" t="n">
        <v>0.06</v>
      </c>
      <c r="D13" s="19" t="inlineStr">
        <is>
          <t>Availability and reliability guarantees on ammonia, demonstrated MTBF/MTTR, overhaul intervals and ammonia component-life penalty, spares, condition monitoring, Malaysia/Singapore service network. Questions C-13, C-14, G-05, H-10, I-01 to I-10.</t>
        </is>
      </c>
      <c r="E13" s="29" t="inlineStr">
        <is>
          <t>No availability figure for ammonia operation; no maintenance schedule; no regional service presence; ammonia component life unknown.</t>
        </is>
      </c>
      <c r="F13" s="30" t="inlineStr">
        <is>
          <t>Availability guarantee offered with exclusions stated; maintenance and overhaul schedule provided; regional service network present; ammonia component-life deltas identified.</t>
        </is>
      </c>
      <c r="G13" s="31" t="inlineStr">
        <is>
          <t>Availability guaranteed for ammonia operation and backed by demonstrated MTBF/MTTR; overhaul intervals and ammonia-specific component life quantified against the parent engine; ammonia-trained team based in Malaysia or Singapore; condition monitoring targeted at the ammonia degradation paths.</t>
        </is>
      </c>
      <c r="H13" s="19" t="inlineStr">
        <is>
          <t>Availability guarantee wording, RAM data, maintenance and overhaul schedules, spares list with lead times, service network detail.</t>
        </is>
      </c>
    </row>
    <row r="14" ht="72" customHeight="1">
      <c r="A14" s="26" t="inlineStr">
        <is>
          <t>C10</t>
        </is>
      </c>
      <c r="B14" s="27" t="inlineStr">
        <is>
          <t>Execution model, EPC fit &amp; lifecycle cost transparency</t>
        </is>
      </c>
      <c r="C14" s="28" t="n">
        <v>0.05</v>
      </c>
      <c r="D14" s="19" t="inlineStr">
        <is>
          <t>Delivery model and turnkey wrap, preferred/experienced EPC contractors, interface matrix, localisation, price breakdown, ammonia premium, O&amp;M cost basis. Questions B-07, B-10, L-01 to L-09, N-01 to N-06.</t>
        </is>
      </c>
      <c r="E14" s="29" t="inlineStr">
        <is>
          <t>Equipment supply only with no interface support; no EPC relationships on ammonia or hydrogen; no price breakdown; ammonia premium not disclosed; O&amp;M basis withheld.</t>
        </is>
      </c>
      <c r="F14" s="30" t="inlineStr">
        <is>
          <t>Engineering-plus-equipment offered with a defined interface matrix; EPC contractors named with engine-plant experience; priced scope breakdown provided; indicative O&amp;M basis given.</t>
        </is>
      </c>
      <c r="G14" s="31" t="inlineStr">
        <is>
          <t>Turnkey wrap available including the ammonia fuel system; named EPC partners with ammonia or hydrogen fuel-system experience and an approved list for Malaysia; full interface matrix; ammonia premium stated explicitly in $/kW; transparent lifecycle O&amp;M model including catalyst and consumables.</t>
        </is>
      </c>
      <c r="H14" s="19" t="inlineStr">
        <is>
          <t>Delivery model options, preferred EPC list with references, interface matrix, priced scope breakdown, O&amp;M cost model.</t>
        </is>
      </c>
    </row>
    <row r="15">
      <c r="A15" s="32" t="n"/>
      <c r="B15" s="33" t="inlineStr">
        <is>
          <t>TOTAL — must equal 100%</t>
        </is>
      </c>
      <c r="C15" s="34">
        <f>SUM(C5:C14)</f>
        <v/>
      </c>
      <c r="D15" s="35">
        <f>IF(ROUND(C15,6)=1,"Weights OK","ADJUST WEIGHTS — total is not 100%")</f>
        <v/>
      </c>
      <c r="E15" s="32" t="n"/>
      <c r="F15" s="32" t="n"/>
      <c r="G15" s="32" t="n"/>
      <c r="H15" s="32" t="n"/>
    </row>
    <row r="17" ht="22" customHeight="1">
      <c r="A17" s="16" t="inlineStr">
        <is>
          <t>KNOCK-OUT GATES — apply BEFORE scoring. A failure here removes the OEM from the comparison; it is not a low score.</t>
        </is>
      </c>
      <c r="B17" s="17" t="n"/>
      <c r="C17" s="17" t="n"/>
      <c r="D17" s="17" t="n"/>
      <c r="E17" s="17" t="n"/>
      <c r="F17" s="17" t="n"/>
      <c r="G17" s="17" t="n"/>
      <c r="H17" s="17" t="n"/>
    </row>
    <row r="18" ht="28" customHeight="1">
      <c r="A18" s="14" t="inlineStr">
        <is>
          <t>Ref</t>
        </is>
      </c>
      <c r="B18" s="14" t="inlineStr">
        <is>
          <t>Knock-out gate</t>
        </is>
      </c>
      <c r="C18" s="14" t="inlineStr">
        <is>
          <t>Basis</t>
        </is>
      </c>
      <c r="D18" s="14" t="inlineStr">
        <is>
          <t>Why it is a knock-out</t>
        </is>
      </c>
      <c r="E18" s="36" t="n"/>
      <c r="F18" s="36" t="n"/>
      <c r="G18" s="36" t="n"/>
      <c r="H18" s="36" t="n"/>
    </row>
    <row r="19" ht="42" customHeight="1">
      <c r="A19" s="37" t="inlineStr">
        <is>
          <t>K1</t>
        </is>
      </c>
      <c r="B19" s="38" t="inlineStr">
        <is>
          <t>No multi-cylinder engine has ever run on ammonia at the offered energy share</t>
        </is>
      </c>
      <c r="C19" s="39" t="inlineStr">
        <is>
          <t>Q A-04, A-05, C-16</t>
        </is>
      </c>
      <c r="D19" s="29" t="inlineStr">
        <is>
          <t>Single-cylinder rig data does not de-risk cylinder balancing, turbocharger matching or transient behaviour. Buying against rig data alone is funding development, not procuring equipment.</t>
        </is>
      </c>
    </row>
    <row r="20" ht="42" customHeight="1">
      <c r="A20" s="37" t="inlineStr">
        <is>
          <t>K2</t>
        </is>
      </c>
      <c r="B20" s="38" t="inlineStr">
        <is>
          <t>OEM will not guarantee any performance parameter on ammonia operation</t>
        </is>
      </c>
      <c r="C20" s="39" t="inlineStr">
        <is>
          <t>Q M-01, M-08</t>
        </is>
      </c>
      <c r="D20" s="29" t="inlineStr">
        <is>
          <t>If nothing is guaranteed on ammonia, the entire fuel-substitution case sits with us and cannot be financed or insured.</t>
        </is>
      </c>
    </row>
    <row r="21" ht="42" customHeight="1">
      <c r="A21" s="37" t="inlineStr">
        <is>
          <t>K3</t>
        </is>
      </c>
      <c r="B21" s="38" t="inlineStr">
        <is>
          <t>No automatic fallback to a back-up fuel on loss of ammonia supply or loss of firing</t>
        </is>
      </c>
      <c r="C21" s="39" t="inlineStr">
        <is>
          <t>Q E-06, E-07</t>
        </is>
      </c>
      <c r="D21" s="29" t="inlineStr">
        <is>
          <t>Without automatic reversion, an ammonia-side upset becomes a full plant outage. This is the single most important availability protection for the technology.</t>
        </is>
      </c>
    </row>
    <row r="22" ht="42" customHeight="1">
      <c r="A22" s="37" t="inlineStr">
        <is>
          <t>K4</t>
        </is>
      </c>
      <c r="B22" s="38" t="inlineStr">
        <is>
          <t>No dedicated N2O control, and untreated N2O not measured</t>
        </is>
      </c>
      <c r="C22" s="39" t="inlineStr">
        <is>
          <t>Q G-01, G-03</t>
        </is>
      </c>
      <c r="D22" s="29" t="inlineStr">
        <is>
          <t>N2O has a 100-year GWP around 273x CO2 (see sheet 6). Uncontrolled N2O can erase the greenhouse-gas benefit that justifies the whole ammonia pathway.</t>
        </is>
      </c>
    </row>
    <row r="23" ht="42" customHeight="1">
      <c r="A23" s="37" t="inlineStr">
        <is>
          <t>K5</t>
        </is>
      </c>
      <c r="B23" s="38" t="inlineStr">
        <is>
          <t>No HAZOP or QRA has been performed on the ammonia package</t>
        </is>
      </c>
      <c r="C23" s="39" t="inlineStr">
        <is>
          <t>Q H-03</t>
        </is>
      </c>
      <c r="D23" s="29" t="inlineStr">
        <is>
          <t>Ammonia is regulated on a toxicity basis. Without a closed-out process hazard analysis the package cannot be permitted in Johor or accepted for a Singapore-facing offtake.</t>
        </is>
      </c>
    </row>
    <row r="24" ht="42" customHeight="1">
      <c r="A24" s="37" t="inlineStr">
        <is>
          <t>K6</t>
        </is>
      </c>
      <c r="B24" s="38" t="inlineStr">
        <is>
          <t>No committed commercial release date for a STATIONARY ammonia genset</t>
        </is>
      </c>
      <c r="C24" s="39" t="inlineStr">
        <is>
          <t>Q A-06, A-07, J-04</t>
        </is>
      </c>
      <c r="D24" s="29" t="inlineStr">
        <is>
          <t>A marine-only product with no stationary release plan cannot support a fixed-date stationary project schedule.</t>
        </is>
      </c>
    </row>
    <row r="25" ht="42" customHeight="1">
      <c r="A25" s="37" t="inlineStr">
        <is>
          <t>K7</t>
        </is>
      </c>
      <c r="B25" s="38" t="inlineStr">
        <is>
          <t>No credible route to insurability for a first-of-a-kind ammonia unit</t>
        </is>
      </c>
      <c r="C25" s="39" t="inlineStr">
        <is>
          <t>Q M-13</t>
        </is>
      </c>
      <c r="D25" s="29" t="inlineStr">
        <is>
          <t>Uninsurable equipment cannot reach financial close regardless of its technical merit.</t>
        </is>
      </c>
    </row>
    <row r="27">
      <c r="A27" s="9" t="inlineStr">
        <is>
          <t>Weights set by:</t>
        </is>
      </c>
      <c r="B27" s="40" t="inlineStr">
        <is>
          <t>[name / role]</t>
        </is>
      </c>
      <c r="C27" s="9" t="inlineStr">
        <is>
          <t>Date:</t>
        </is>
      </c>
      <c r="D27" s="40" t="inlineStr">
        <is>
          <t>[YYYY-MM-DD]</t>
        </is>
      </c>
    </row>
    <row r="28" ht="46" customHeight="1">
      <c r="A28" s="9" t="inlineStr">
        <is>
          <t>Basis of the proposed weights:</t>
        </is>
      </c>
      <c r="B28" s="41" t="inlineStr">
        <is>
          <t>Judgement call, not a sourced figure. Weighted towards maturity (C1+C2 = 31%) and de-risking (C3+C7 = 21%) because no OEM currently sells a proven stationary ammonia 4-stroke genset (see sheet 6); efficiency is weighted lower (C4 = 11%) because the credible efficiency spread between competing ammonia 4-stroke offers is narrow relative to the maturity spread. Adjust to suit the project.</t>
        </is>
      </c>
    </row>
  </sheetData>
  <mergeCells count="3">
    <mergeCell ref="A2:H2"/>
    <mergeCell ref="B28:H28"/>
    <mergeCell ref="A17:H17"/>
  </mergeCells>
  <pageMargins left="0.75" right="0.75" top="1" bottom="1" header="0.5" footer="0.5"/>
</worksheet>
</file>

<file path=xl/worksheets/sheet4.xml><?xml version="1.0" encoding="utf-8"?>
<worksheet xmlns="http://schemas.openxmlformats.org/spreadsheetml/2006/main">
  <sheetPr>
    <tabColor rgb="00833C00"/>
    <outlinePr summaryBelow="1" summaryRight="1"/>
    <pageSetUpPr/>
  </sheetPr>
  <dimension ref="A1:L3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36" customWidth="1" min="2" max="2"/>
    <col width="9" customWidth="1" min="3" max="3"/>
    <col width="9" customWidth="1" min="4" max="4"/>
    <col width="10" customWidth="1" min="5" max="5"/>
    <col width="34" customWidth="1" min="6" max="6"/>
    <col width="9" customWidth="1" min="7" max="7"/>
    <col width="10" customWidth="1" min="8" max="8"/>
    <col width="34" customWidth="1" min="9" max="9"/>
    <col width="9" customWidth="1" min="10" max="10"/>
    <col width="10" customWidth="1" min="11" max="11"/>
    <col width="34" customWidth="1" min="12" max="12"/>
  </cols>
  <sheetData>
    <row r="1" ht="20" customHeight="1">
      <c r="A1" s="1" t="inlineStr">
        <is>
          <t>Sheet 3 — Weighted Scorecard (up to three OEMs)</t>
        </is>
      </c>
    </row>
    <row r="2" ht="26" customHeight="1">
      <c r="A2" s="2" t="inlineStr">
        <is>
          <t>Criterion names and weights are pulled by formula from sheet 2 — edit them there, not here. Enter only the raw 1-5 scores (yellow) and a one-line justification. Because the weights total 100%, the weighted total lands on the same 1-5 scale.</t>
        </is>
      </c>
    </row>
    <row r="4">
      <c r="A4" s="5" t="inlineStr">
        <is>
          <t>OEM identity</t>
        </is>
      </c>
      <c r="D4" s="42" t="inlineStr">
        <is>
          <t>[OEM A name]</t>
        </is>
      </c>
      <c r="E4" s="17" t="n"/>
      <c r="F4" s="17" t="n"/>
      <c r="G4" s="42" t="inlineStr">
        <is>
          <t>[OEM B name]</t>
        </is>
      </c>
      <c r="H4" s="17" t="n"/>
      <c r="I4" s="17" t="n"/>
      <c r="J4" s="42" t="inlineStr">
        <is>
          <t>[OEM C name]</t>
        </is>
      </c>
      <c r="K4" s="17" t="n"/>
      <c r="L4" s="17" t="n"/>
    </row>
    <row r="5" ht="34" customHeight="1">
      <c r="A5" s="14" t="inlineStr">
        <is>
          <t>Ref</t>
        </is>
      </c>
      <c r="B5" s="14" t="inlineStr">
        <is>
          <t>Criterion</t>
        </is>
      </c>
      <c r="C5" s="14" t="inlineStr">
        <is>
          <t>Weight</t>
        </is>
      </c>
      <c r="D5" s="14" t="inlineStr">
        <is>
          <t>Score 1-5</t>
        </is>
      </c>
      <c r="E5" s="14" t="inlineStr">
        <is>
          <t>Weighted</t>
        </is>
      </c>
      <c r="F5" s="14" t="inlineStr">
        <is>
          <t>Justification / evidence</t>
        </is>
      </c>
      <c r="G5" s="14" t="inlineStr">
        <is>
          <t>Score 1-5</t>
        </is>
      </c>
      <c r="H5" s="14" t="inlineStr">
        <is>
          <t>Weighted</t>
        </is>
      </c>
      <c r="I5" s="14" t="inlineStr">
        <is>
          <t>Justification / evidence</t>
        </is>
      </c>
      <c r="J5" s="14" t="inlineStr">
        <is>
          <t>Score 1-5</t>
        </is>
      </c>
      <c r="K5" s="14" t="inlineStr">
        <is>
          <t>Weighted</t>
        </is>
      </c>
      <c r="L5" s="14" t="inlineStr">
        <is>
          <t>Justification / evidence</t>
        </is>
      </c>
    </row>
    <row r="6" ht="30" customHeight="1">
      <c r="A6" s="43">
        <f>'2 Assessment Criteria'!A5</f>
        <v/>
      </c>
      <c r="B6" s="44">
        <f>'2 Assessment Criteria'!B5</f>
        <v/>
      </c>
      <c r="C6" s="45">
        <f>'2 Assessment Criteria'!C5</f>
        <v/>
      </c>
      <c r="D6" s="46" t="n"/>
      <c r="E6" s="47">
        <f>IF(D6="","",D6*$C6)</f>
        <v/>
      </c>
      <c r="F6" s="23" t="n"/>
      <c r="G6" s="46" t="n"/>
      <c r="H6" s="47">
        <f>IF(G6="","",G6*$C6)</f>
        <v/>
      </c>
      <c r="I6" s="23" t="n"/>
      <c r="J6" s="46" t="n"/>
      <c r="K6" s="47">
        <f>IF(J6="","",J6*$C6)</f>
        <v/>
      </c>
      <c r="L6" s="23" t="n"/>
    </row>
    <row r="7" ht="30" customHeight="1">
      <c r="A7" s="43">
        <f>'2 Assessment Criteria'!A6</f>
        <v/>
      </c>
      <c r="B7" s="44">
        <f>'2 Assessment Criteria'!B6</f>
        <v/>
      </c>
      <c r="C7" s="45">
        <f>'2 Assessment Criteria'!C6</f>
        <v/>
      </c>
      <c r="D7" s="46" t="n"/>
      <c r="E7" s="47">
        <f>IF(D7="","",D7*$C7)</f>
        <v/>
      </c>
      <c r="F7" s="23" t="n"/>
      <c r="G7" s="46" t="n"/>
      <c r="H7" s="47">
        <f>IF(G7="","",G7*$C7)</f>
        <v/>
      </c>
      <c r="I7" s="23" t="n"/>
      <c r="J7" s="46" t="n"/>
      <c r="K7" s="47">
        <f>IF(J7="","",J7*$C7)</f>
        <v/>
      </c>
      <c r="L7" s="23" t="n"/>
    </row>
    <row r="8" ht="30" customHeight="1">
      <c r="A8" s="43">
        <f>'2 Assessment Criteria'!A7</f>
        <v/>
      </c>
      <c r="B8" s="44">
        <f>'2 Assessment Criteria'!B7</f>
        <v/>
      </c>
      <c r="C8" s="45">
        <f>'2 Assessment Criteria'!C7</f>
        <v/>
      </c>
      <c r="D8" s="46" t="n"/>
      <c r="E8" s="47">
        <f>IF(D8="","",D8*$C8)</f>
        <v/>
      </c>
      <c r="F8" s="23" t="n"/>
      <c r="G8" s="46" t="n"/>
      <c r="H8" s="47">
        <f>IF(G8="","",G8*$C8)</f>
        <v/>
      </c>
      <c r="I8" s="23" t="n"/>
      <c r="J8" s="46" t="n"/>
      <c r="K8" s="47">
        <f>IF(J8="","",J8*$C8)</f>
        <v/>
      </c>
      <c r="L8" s="23" t="n"/>
    </row>
    <row r="9" ht="30" customHeight="1">
      <c r="A9" s="43">
        <f>'2 Assessment Criteria'!A8</f>
        <v/>
      </c>
      <c r="B9" s="44">
        <f>'2 Assessment Criteria'!B8</f>
        <v/>
      </c>
      <c r="C9" s="45">
        <f>'2 Assessment Criteria'!C8</f>
        <v/>
      </c>
      <c r="D9" s="46" t="n"/>
      <c r="E9" s="47">
        <f>IF(D9="","",D9*$C9)</f>
        <v/>
      </c>
      <c r="F9" s="23" t="n"/>
      <c r="G9" s="46" t="n"/>
      <c r="H9" s="47">
        <f>IF(G9="","",G9*$C9)</f>
        <v/>
      </c>
      <c r="I9" s="23" t="n"/>
      <c r="J9" s="46" t="n"/>
      <c r="K9" s="47">
        <f>IF(J9="","",J9*$C9)</f>
        <v/>
      </c>
      <c r="L9" s="23" t="n"/>
    </row>
    <row r="10" ht="30" customHeight="1">
      <c r="A10" s="43">
        <f>'2 Assessment Criteria'!A9</f>
        <v/>
      </c>
      <c r="B10" s="44">
        <f>'2 Assessment Criteria'!B9</f>
        <v/>
      </c>
      <c r="C10" s="45">
        <f>'2 Assessment Criteria'!C9</f>
        <v/>
      </c>
      <c r="D10" s="46" t="n"/>
      <c r="E10" s="47">
        <f>IF(D10="","",D10*$C10)</f>
        <v/>
      </c>
      <c r="F10" s="23" t="n"/>
      <c r="G10" s="46" t="n"/>
      <c r="H10" s="47">
        <f>IF(G10="","",G10*$C10)</f>
        <v/>
      </c>
      <c r="I10" s="23" t="n"/>
      <c r="J10" s="46" t="n"/>
      <c r="K10" s="47">
        <f>IF(J10="","",J10*$C10)</f>
        <v/>
      </c>
      <c r="L10" s="23" t="n"/>
    </row>
    <row r="11" ht="30" customHeight="1">
      <c r="A11" s="43">
        <f>'2 Assessment Criteria'!A10</f>
        <v/>
      </c>
      <c r="B11" s="44">
        <f>'2 Assessment Criteria'!B10</f>
        <v/>
      </c>
      <c r="C11" s="45">
        <f>'2 Assessment Criteria'!C10</f>
        <v/>
      </c>
      <c r="D11" s="46" t="n"/>
      <c r="E11" s="47">
        <f>IF(D11="","",D11*$C11)</f>
        <v/>
      </c>
      <c r="F11" s="23" t="n"/>
      <c r="G11" s="46" t="n"/>
      <c r="H11" s="47">
        <f>IF(G11="","",G11*$C11)</f>
        <v/>
      </c>
      <c r="I11" s="23" t="n"/>
      <c r="J11" s="46" t="n"/>
      <c r="K11" s="47">
        <f>IF(J11="","",J11*$C11)</f>
        <v/>
      </c>
      <c r="L11" s="23" t="n"/>
    </row>
    <row r="12" ht="30" customHeight="1">
      <c r="A12" s="43">
        <f>'2 Assessment Criteria'!A11</f>
        <v/>
      </c>
      <c r="B12" s="44">
        <f>'2 Assessment Criteria'!B11</f>
        <v/>
      </c>
      <c r="C12" s="45">
        <f>'2 Assessment Criteria'!C11</f>
        <v/>
      </c>
      <c r="D12" s="46" t="n"/>
      <c r="E12" s="47">
        <f>IF(D12="","",D12*$C12)</f>
        <v/>
      </c>
      <c r="F12" s="23" t="n"/>
      <c r="G12" s="46" t="n"/>
      <c r="H12" s="47">
        <f>IF(G12="","",G12*$C12)</f>
        <v/>
      </c>
      <c r="I12" s="23" t="n"/>
      <c r="J12" s="46" t="n"/>
      <c r="K12" s="47">
        <f>IF(J12="","",J12*$C12)</f>
        <v/>
      </c>
      <c r="L12" s="23" t="n"/>
    </row>
    <row r="13" ht="30" customHeight="1">
      <c r="A13" s="43">
        <f>'2 Assessment Criteria'!A12</f>
        <v/>
      </c>
      <c r="B13" s="44">
        <f>'2 Assessment Criteria'!B12</f>
        <v/>
      </c>
      <c r="C13" s="45">
        <f>'2 Assessment Criteria'!C12</f>
        <v/>
      </c>
      <c r="D13" s="46" t="n"/>
      <c r="E13" s="47">
        <f>IF(D13="","",D13*$C13)</f>
        <v/>
      </c>
      <c r="F13" s="23" t="n"/>
      <c r="G13" s="46" t="n"/>
      <c r="H13" s="47">
        <f>IF(G13="","",G13*$C13)</f>
        <v/>
      </c>
      <c r="I13" s="23" t="n"/>
      <c r="J13" s="46" t="n"/>
      <c r="K13" s="47">
        <f>IF(J13="","",J13*$C13)</f>
        <v/>
      </c>
      <c r="L13" s="23" t="n"/>
    </row>
    <row r="14" ht="30" customHeight="1">
      <c r="A14" s="43">
        <f>'2 Assessment Criteria'!A13</f>
        <v/>
      </c>
      <c r="B14" s="44">
        <f>'2 Assessment Criteria'!B13</f>
        <v/>
      </c>
      <c r="C14" s="45">
        <f>'2 Assessment Criteria'!C13</f>
        <v/>
      </c>
      <c r="D14" s="46" t="n"/>
      <c r="E14" s="47">
        <f>IF(D14="","",D14*$C14)</f>
        <v/>
      </c>
      <c r="F14" s="23" t="n"/>
      <c r="G14" s="46" t="n"/>
      <c r="H14" s="47">
        <f>IF(G14="","",G14*$C14)</f>
        <v/>
      </c>
      <c r="I14" s="23" t="n"/>
      <c r="J14" s="46" t="n"/>
      <c r="K14" s="47">
        <f>IF(J14="","",J14*$C14)</f>
        <v/>
      </c>
      <c r="L14" s="23" t="n"/>
    </row>
    <row r="15" ht="30" customHeight="1">
      <c r="A15" s="43">
        <f>'2 Assessment Criteria'!A14</f>
        <v/>
      </c>
      <c r="B15" s="44">
        <f>'2 Assessment Criteria'!B14</f>
        <v/>
      </c>
      <c r="C15" s="45">
        <f>'2 Assessment Criteria'!C14</f>
        <v/>
      </c>
      <c r="D15" s="46" t="n"/>
      <c r="E15" s="47">
        <f>IF(D15="","",D15*$C15)</f>
        <v/>
      </c>
      <c r="F15" s="23" t="n"/>
      <c r="G15" s="46" t="n"/>
      <c r="H15" s="47">
        <f>IF(G15="","",G15*$C15)</f>
        <v/>
      </c>
      <c r="I15" s="23" t="n"/>
      <c r="J15" s="46" t="n"/>
      <c r="K15" s="47">
        <f>IF(J15="","",J15*$C15)</f>
        <v/>
      </c>
      <c r="L15" s="23" t="n"/>
    </row>
    <row r="16" ht="22" customHeight="1">
      <c r="A16" s="32" t="n"/>
      <c r="B16" s="33" t="inlineStr">
        <is>
          <t>WEIGHTED TOTAL (scale 1-5)</t>
        </is>
      </c>
      <c r="C16" s="48">
        <f>SUM(C6:C15)</f>
        <v/>
      </c>
      <c r="D16" s="32" t="n"/>
      <c r="E16" s="49">
        <f>IF(COUNT(D6:D15)=0,"",SUM(E6:E15))</f>
        <v/>
      </c>
      <c r="F16" s="32" t="n"/>
      <c r="G16" s="32" t="n"/>
      <c r="H16" s="49">
        <f>IF(COUNT(G6:G15)=0,"",SUM(H6:H15))</f>
        <v/>
      </c>
      <c r="I16" s="32" t="n"/>
      <c r="J16" s="32" t="n"/>
      <c r="K16" s="49">
        <f>IF(COUNT(J6:J15)=0,"",SUM(K6:K15))</f>
        <v/>
      </c>
      <c r="L16" s="32" t="n"/>
    </row>
    <row r="17">
      <c r="A17" s="17" t="n"/>
      <c r="B17" s="50" t="inlineStr">
        <is>
          <t>Equivalent score out of 100</t>
        </is>
      </c>
      <c r="C17" s="17" t="n"/>
      <c r="D17" s="17" t="n"/>
      <c r="E17" s="51">
        <f>IF(E16="","",E16/5)</f>
        <v/>
      </c>
      <c r="F17" s="17" t="n"/>
      <c r="G17" s="17" t="n"/>
      <c r="H17" s="51">
        <f>IF(H16="","",H16/5)</f>
        <v/>
      </c>
      <c r="I17" s="17" t="n"/>
      <c r="J17" s="17" t="n"/>
      <c r="K17" s="51">
        <f>IF(K16="","",K16/5)</f>
        <v/>
      </c>
      <c r="L17" s="17" t="n"/>
    </row>
    <row r="18">
      <c r="A18" s="17" t="n"/>
      <c r="B18" s="52" t="inlineStr">
        <is>
          <t>Criteria scored (of 10)</t>
        </is>
      </c>
      <c r="C18" s="17" t="n"/>
      <c r="D18" s="17" t="n"/>
      <c r="E18" s="21">
        <f>COUNT(D6:D15)</f>
        <v/>
      </c>
      <c r="F18" s="17" t="n"/>
      <c r="G18" s="17" t="n"/>
      <c r="H18" s="21">
        <f>COUNT(G6:G15)</f>
        <v/>
      </c>
      <c r="I18" s="17" t="n"/>
      <c r="J18" s="17" t="n"/>
      <c r="K18" s="21">
        <f>COUNT(J6:J15)</f>
        <v/>
      </c>
      <c r="L18" s="17" t="n"/>
    </row>
    <row r="20" ht="22" customHeight="1">
      <c r="A20" s="53" t="inlineStr">
        <is>
          <t>KNOCK-OUT GATES — complete this block FIRST. Any 'Fail' removes the OEM regardless of its weighted score.</t>
        </is>
      </c>
      <c r="B20" s="17" t="n"/>
      <c r="C20" s="17" t="n"/>
      <c r="D20" s="17" t="n"/>
      <c r="E20" s="17" t="n"/>
      <c r="F20" s="17" t="n"/>
      <c r="G20" s="17" t="n"/>
      <c r="H20" s="17" t="n"/>
      <c r="I20" s="17" t="n"/>
      <c r="J20" s="17" t="n"/>
      <c r="K20" s="17" t="n"/>
      <c r="L20" s="17" t="n"/>
    </row>
    <row r="21" ht="22" customHeight="1">
      <c r="A21" s="14" t="inlineStr">
        <is>
          <t>Ref</t>
        </is>
      </c>
      <c r="B21" s="14" t="inlineStr">
        <is>
          <t>Knock-out gate</t>
        </is>
      </c>
      <c r="C21" s="14" t="n"/>
      <c r="D21" s="14" t="inlineStr">
        <is>
          <t>OEM A</t>
        </is>
      </c>
      <c r="E21" s="14" t="n"/>
      <c r="F21" s="14" t="inlineStr">
        <is>
          <t>Note</t>
        </is>
      </c>
      <c r="G21" s="14" t="inlineStr">
        <is>
          <t>OEM B</t>
        </is>
      </c>
      <c r="H21" s="14" t="n"/>
      <c r="I21" s="14" t="inlineStr">
        <is>
          <t>Note</t>
        </is>
      </c>
      <c r="J21" s="14" t="inlineStr">
        <is>
          <t>OEM C</t>
        </is>
      </c>
      <c r="K21" s="14" t="n"/>
      <c r="L21" s="14" t="inlineStr">
        <is>
          <t>Note</t>
        </is>
      </c>
    </row>
    <row r="22" ht="26" customHeight="1">
      <c r="A22" s="43">
        <f>'2 Assessment Criteria'!A19</f>
        <v/>
      </c>
      <c r="B22" s="44">
        <f>'2 Assessment Criteria'!B19</f>
        <v/>
      </c>
      <c r="C22" s="17" t="n"/>
      <c r="D22" s="54" t="n"/>
      <c r="E22" s="17" t="n"/>
      <c r="F22" s="23" t="n"/>
      <c r="G22" s="54" t="n"/>
      <c r="H22" s="17" t="n"/>
      <c r="I22" s="23" t="n"/>
      <c r="J22" s="54" t="n"/>
      <c r="K22" s="17" t="n"/>
      <c r="L22" s="23" t="n"/>
    </row>
    <row r="23" ht="26" customHeight="1">
      <c r="A23" s="43">
        <f>'2 Assessment Criteria'!A20</f>
        <v/>
      </c>
      <c r="B23" s="44">
        <f>'2 Assessment Criteria'!B20</f>
        <v/>
      </c>
      <c r="C23" s="17" t="n"/>
      <c r="D23" s="54" t="n"/>
      <c r="E23" s="17" t="n"/>
      <c r="F23" s="23" t="n"/>
      <c r="G23" s="54" t="n"/>
      <c r="H23" s="17" t="n"/>
      <c r="I23" s="23" t="n"/>
      <c r="J23" s="54" t="n"/>
      <c r="K23" s="17" t="n"/>
      <c r="L23" s="23" t="n"/>
    </row>
    <row r="24" ht="26" customHeight="1">
      <c r="A24" s="43">
        <f>'2 Assessment Criteria'!A21</f>
        <v/>
      </c>
      <c r="B24" s="44">
        <f>'2 Assessment Criteria'!B21</f>
        <v/>
      </c>
      <c r="C24" s="17" t="n"/>
      <c r="D24" s="54" t="n"/>
      <c r="E24" s="17" t="n"/>
      <c r="F24" s="23" t="n"/>
      <c r="G24" s="54" t="n"/>
      <c r="H24" s="17" t="n"/>
      <c r="I24" s="23" t="n"/>
      <c r="J24" s="54" t="n"/>
      <c r="K24" s="17" t="n"/>
      <c r="L24" s="23" t="n"/>
    </row>
    <row r="25" ht="26" customHeight="1">
      <c r="A25" s="43">
        <f>'2 Assessment Criteria'!A22</f>
        <v/>
      </c>
      <c r="B25" s="44">
        <f>'2 Assessment Criteria'!B22</f>
        <v/>
      </c>
      <c r="C25" s="17" t="n"/>
      <c r="D25" s="54" t="n"/>
      <c r="E25" s="17" t="n"/>
      <c r="F25" s="23" t="n"/>
      <c r="G25" s="54" t="n"/>
      <c r="H25" s="17" t="n"/>
      <c r="I25" s="23" t="n"/>
      <c r="J25" s="54" t="n"/>
      <c r="K25" s="17" t="n"/>
      <c r="L25" s="23" t="n"/>
    </row>
    <row r="26" ht="26" customHeight="1">
      <c r="A26" s="43">
        <f>'2 Assessment Criteria'!A23</f>
        <v/>
      </c>
      <c r="B26" s="44">
        <f>'2 Assessment Criteria'!B23</f>
        <v/>
      </c>
      <c r="C26" s="17" t="n"/>
      <c r="D26" s="54" t="n"/>
      <c r="E26" s="17" t="n"/>
      <c r="F26" s="23" t="n"/>
      <c r="G26" s="54" t="n"/>
      <c r="H26" s="17" t="n"/>
      <c r="I26" s="23" t="n"/>
      <c r="J26" s="54" t="n"/>
      <c r="K26" s="17" t="n"/>
      <c r="L26" s="23" t="n"/>
    </row>
    <row r="27" ht="26" customHeight="1">
      <c r="A27" s="43">
        <f>'2 Assessment Criteria'!A24</f>
        <v/>
      </c>
      <c r="B27" s="44">
        <f>'2 Assessment Criteria'!B24</f>
        <v/>
      </c>
      <c r="C27" s="17" t="n"/>
      <c r="D27" s="54" t="n"/>
      <c r="E27" s="17" t="n"/>
      <c r="F27" s="23" t="n"/>
      <c r="G27" s="54" t="n"/>
      <c r="H27" s="17" t="n"/>
      <c r="I27" s="23" t="n"/>
      <c r="J27" s="54" t="n"/>
      <c r="K27" s="17" t="n"/>
      <c r="L27" s="23" t="n"/>
    </row>
    <row r="28" ht="26" customHeight="1">
      <c r="A28" s="43">
        <f>'2 Assessment Criteria'!A25</f>
        <v/>
      </c>
      <c r="B28" s="44">
        <f>'2 Assessment Criteria'!B25</f>
        <v/>
      </c>
      <c r="C28" s="17" t="n"/>
      <c r="D28" s="54" t="n"/>
      <c r="E28" s="17" t="n"/>
      <c r="F28" s="23" t="n"/>
      <c r="G28" s="54" t="n"/>
      <c r="H28" s="17" t="n"/>
      <c r="I28" s="23" t="n"/>
      <c r="J28" s="54" t="n"/>
      <c r="K28" s="17" t="n"/>
      <c r="L28" s="23" t="n"/>
    </row>
    <row r="29">
      <c r="A29" s="17" t="n"/>
      <c r="B29" s="50" t="inlineStr">
        <is>
          <t>KNOCK-OUT VERDICT</t>
        </is>
      </c>
      <c r="C29" s="17" t="n"/>
      <c r="D29" s="55">
        <f>IF(COUNTIF(D22:D28,"Fail")&gt;0,"ELIMINATED",IF(COUNTIF(D22:D28,"Pass")=7,"PROCEED","INCOMPLETE"))</f>
        <v/>
      </c>
      <c r="E29" s="17" t="n"/>
      <c r="F29" s="17" t="n"/>
      <c r="G29" s="55">
        <f>IF(COUNTIF(G22:G28,"Fail")&gt;0,"ELIMINATED",IF(COUNTIF(G22:G28,"Pass")=7,"PROCEED","INCOMPLETE"))</f>
        <v/>
      </c>
      <c r="H29" s="17" t="n"/>
      <c r="I29" s="17" t="n"/>
      <c r="J29" s="55">
        <f>IF(COUNTIF(J22:J28,"Fail")&gt;0,"ELIMINATED",IF(COUNTIF(J22:J28,"Pass")=7,"PROCEED","INCOMPLETE"))</f>
        <v/>
      </c>
      <c r="K29" s="17" t="n"/>
      <c r="L29" s="17" t="n"/>
    </row>
    <row r="31">
      <c r="A31" s="56" t="inlineStr">
        <is>
          <t>SENSITIVITY CHECK</t>
        </is>
      </c>
    </row>
    <row r="32">
      <c r="A32" s="41" t="inlineStr">
        <is>
          <t>1. Note the ranking above. Then, on sheet 2, move the largest weight (C1) down 10 percentage points and give those points to C4, and re-read the ranking.</t>
        </is>
      </c>
    </row>
    <row r="33">
      <c r="A33" s="41" t="inlineStr">
        <is>
          <t>2. If the ranking flips, the decision is fragile and must be reported as such — do not present a fragile ranking as a conclusion. Restore the weights afterwards.</t>
        </is>
      </c>
    </row>
    <row r="34">
      <c r="A34" s="41" t="inlineStr">
        <is>
          <t>3. Treat a gap of less than 0.2 on the 1-5 weighted total as a tie and break it with judgement, not decimals.</t>
        </is>
      </c>
    </row>
    <row r="35">
      <c r="A35" s="41" t="inlineStr">
        <is>
          <t>4. Any criterion scored on fewer than three answered Critical questions should be flagged in the justification column as low-confidence.</t>
        </is>
      </c>
    </row>
  </sheetData>
  <mergeCells count="41">
    <mergeCell ref="J29:K29"/>
    <mergeCell ref="B25:C25"/>
    <mergeCell ref="G27:H27"/>
    <mergeCell ref="B22:C22"/>
    <mergeCell ref="J4:L4"/>
    <mergeCell ref="D22:E22"/>
    <mergeCell ref="G23:H23"/>
    <mergeCell ref="B27:C27"/>
    <mergeCell ref="J28:K28"/>
    <mergeCell ref="A2:L2"/>
    <mergeCell ref="G22:H22"/>
    <mergeCell ref="A33:L33"/>
    <mergeCell ref="J24:K24"/>
    <mergeCell ref="D4:F4"/>
    <mergeCell ref="D27:E27"/>
    <mergeCell ref="A32:L32"/>
    <mergeCell ref="B23:C23"/>
    <mergeCell ref="G4:I4"/>
    <mergeCell ref="G28:H28"/>
    <mergeCell ref="J27:K27"/>
    <mergeCell ref="A35:L35"/>
    <mergeCell ref="J26:K26"/>
    <mergeCell ref="A20:L20"/>
    <mergeCell ref="B29:C29"/>
    <mergeCell ref="G24:H24"/>
    <mergeCell ref="J25:K25"/>
    <mergeCell ref="B28:C28"/>
    <mergeCell ref="D28:E28"/>
    <mergeCell ref="J22:K22"/>
    <mergeCell ref="G26:H26"/>
    <mergeCell ref="A34:L34"/>
    <mergeCell ref="D25:E25"/>
    <mergeCell ref="G29:H29"/>
    <mergeCell ref="B24:C24"/>
    <mergeCell ref="D24:E24"/>
    <mergeCell ref="B26:C26"/>
    <mergeCell ref="D29:E29"/>
    <mergeCell ref="G25:H25"/>
    <mergeCell ref="D23:E23"/>
    <mergeCell ref="J23:K23"/>
    <mergeCell ref="D26:E26"/>
  </mergeCells>
  <dataValidations count="2">
    <dataValidation sqref="D6 D7 D8 D9 D10 D11 D12 D13 D14 D15 G6 G7 G8 G9 G10 G11 G12 G13 G14 G15 J6 J7 J8 J9 J10 J11 J12 J13 J14 J15" showDropDown="0" showInputMessage="0" showErrorMessage="0" allowBlank="1" type="list">
      <formula1>"1,2,3,4,5"</formula1>
    </dataValidation>
    <dataValidation sqref="D22 D23 D24 D25 D26 D27 D28 G22 G23 G24 G25 G26 G27 G28 J22 J23 J24 J25 J26 J27 J28" showDropDown="0" showInputMessage="0" showErrorMessage="0" allowBlank="1" type="list">
      <formula1>"Pass,Fail,Unknown"</formula1>
    </dataValidation>
  </dataValidations>
  <pageMargins left="0.75" right="0.75" top="1" bottom="1" header="0.5" footer="0.5"/>
</worksheet>
</file>

<file path=xl/worksheets/sheet5.xml><?xml version="1.0" encoding="utf-8"?>
<worksheet xmlns="http://schemas.openxmlformats.org/spreadsheetml/2006/main">
  <sheetPr>
    <tabColor rgb="007F6000"/>
    <outlinePr summaryBelow="1" summaryRight="1"/>
    <pageSetUpPr/>
  </sheetPr>
  <dimension ref="A1:J6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20" customWidth="1" min="3" max="3"/>
    <col width="20" customWidth="1" min="4" max="4"/>
    <col width="12" customWidth="1" min="5" max="5"/>
    <col width="15" customWidth="1" min="6" max="6"/>
    <col width="12" customWidth="1" min="7" max="7"/>
    <col width="12" customWidth="1" min="8" max="8"/>
    <col width="30" customWidth="1" min="9" max="9"/>
    <col width="34" customWidth="1" min="10" max="10"/>
  </cols>
  <sheetData>
    <row r="1" ht="20" customHeight="1">
      <c r="A1" s="1" t="inlineStr">
        <is>
          <t>Sheet 4 — Long-Lead Item Register &amp; Purchase-to-Commissioning Schedule</t>
        </is>
      </c>
    </row>
    <row r="2" ht="26" customHeight="1">
      <c r="A2" s="2" t="inlineStr">
        <is>
          <t>Populate from questions K-01 to K-10 and I-06. The item list below is a CHECKLIST of what to ask about — no lead times, prices or dates are pre-filled, because none can be stated without the OEM. All yellow cells are for OEM-supplied data.</t>
        </is>
      </c>
    </row>
    <row r="4" ht="22" customHeight="1">
      <c r="A4" s="16" t="inlineStr">
        <is>
          <t>BLOCK 1 — LONG-LEAD ITEM REGISTER</t>
        </is>
      </c>
      <c r="B4" s="17" t="n"/>
      <c r="C4" s="17" t="n"/>
      <c r="D4" s="17" t="n"/>
      <c r="E4" s="17" t="n"/>
      <c r="F4" s="17" t="n"/>
      <c r="G4" s="17" t="n"/>
      <c r="H4" s="17" t="n"/>
      <c r="I4" s="17" t="n"/>
      <c r="J4" s="17" t="n"/>
    </row>
    <row r="5" ht="44" customHeight="1">
      <c r="A5" s="14" t="inlineStr">
        <is>
          <t>#</t>
        </is>
      </c>
      <c r="B5" s="14" t="inlineStr">
        <is>
          <t>Long-lead item</t>
        </is>
      </c>
      <c r="C5" s="14" t="inlineStr">
        <is>
          <t>In whose scope (OEM / EPC / Owner)</t>
        </is>
      </c>
      <c r="D5" s="14" t="inlineStr">
        <is>
          <t>Sub-supplier</t>
        </is>
      </c>
      <c r="E5" s="14" t="inlineStr">
        <is>
          <t>Single-sourced? (Y/N)</t>
        </is>
      </c>
      <c r="F5" s="14" t="inlineStr">
        <is>
          <t>Quoted lead time (weeks from PO)</t>
        </is>
      </c>
      <c r="G5" s="14" t="inlineStr">
        <is>
          <t>Date of quote</t>
        </is>
      </c>
      <c r="H5" s="14" t="inlineStr">
        <is>
          <t>On critical path? (Y/N)</t>
        </is>
      </c>
      <c r="I5" s="14" t="inlineStr">
        <is>
          <t>Risk</t>
        </is>
      </c>
      <c r="J5" s="14" t="inlineStr">
        <is>
          <t>Mitigation / action</t>
        </is>
      </c>
    </row>
    <row r="6" ht="24" customHeight="1">
      <c r="A6" s="21" t="n">
        <v>1</v>
      </c>
      <c r="B6" s="19" t="inlineStr">
        <is>
          <t>Engine block / bedplate and crankshaft</t>
        </is>
      </c>
      <c r="C6" s="23" t="n"/>
      <c r="D6" s="23" t="n"/>
      <c r="E6" s="23" t="n"/>
      <c r="F6" s="23" t="n"/>
      <c r="G6" s="23" t="n"/>
      <c r="H6" s="23" t="n"/>
      <c r="I6" s="23" t="n"/>
      <c r="J6" s="23" t="n"/>
    </row>
    <row r="7" ht="24" customHeight="1">
      <c r="A7" s="21" t="n">
        <v>2</v>
      </c>
      <c r="B7" s="19" t="inlineStr">
        <is>
          <t>Cylinder heads, valves and seats (ammonia-compatible materials)</t>
        </is>
      </c>
      <c r="C7" s="23" t="n"/>
      <c r="D7" s="23" t="n"/>
      <c r="E7" s="23" t="n"/>
      <c r="F7" s="23" t="n"/>
      <c r="G7" s="23" t="n"/>
      <c r="H7" s="23" t="n"/>
      <c r="I7" s="23" t="n"/>
      <c r="J7" s="23" t="n"/>
    </row>
    <row r="8" ht="24" customHeight="1">
      <c r="A8" s="21" t="n">
        <v>3</v>
      </c>
      <c r="B8" s="19" t="inlineStr">
        <is>
          <t>Ammonia main fuel injectors / gas admission valves</t>
        </is>
      </c>
      <c r="C8" s="23" t="n"/>
      <c r="D8" s="23" t="n"/>
      <c r="E8" s="23" t="n"/>
      <c r="F8" s="23" t="n"/>
      <c r="G8" s="23" t="n"/>
      <c r="H8" s="23" t="n"/>
      <c r="I8" s="23" t="n"/>
      <c r="J8" s="23" t="n"/>
    </row>
    <row r="9" ht="24" customHeight="1">
      <c r="A9" s="21" t="n">
        <v>4</v>
      </c>
      <c r="B9" s="19" t="inlineStr">
        <is>
          <t>Pilot fuel injection system</t>
        </is>
      </c>
      <c r="C9" s="23" t="n"/>
      <c r="D9" s="23" t="n"/>
      <c r="E9" s="23" t="n"/>
      <c r="F9" s="23" t="n"/>
      <c r="G9" s="23" t="n"/>
      <c r="H9" s="23" t="n"/>
      <c r="I9" s="23" t="n"/>
      <c r="J9" s="23" t="n"/>
    </row>
    <row r="10" ht="24" customHeight="1">
      <c r="A10" s="21" t="n">
        <v>5</v>
      </c>
      <c r="B10" s="19" t="inlineStr">
        <is>
          <t>Turbocharger (ammonia-matched)</t>
        </is>
      </c>
      <c r="C10" s="23" t="n"/>
      <c r="D10" s="23" t="n"/>
      <c r="E10" s="23" t="n"/>
      <c r="F10" s="23" t="n"/>
      <c r="G10" s="23" t="n"/>
      <c r="H10" s="23" t="n"/>
      <c r="I10" s="23" t="n"/>
      <c r="J10" s="23" t="n"/>
    </row>
    <row r="11" ht="24" customHeight="1">
      <c r="A11" s="21" t="n">
        <v>6</v>
      </c>
      <c r="B11" s="19" t="inlineStr">
        <is>
          <t>Alternator / generator</t>
        </is>
      </c>
      <c r="C11" s="23" t="n"/>
      <c r="D11" s="23" t="n"/>
      <c r="E11" s="23" t="n"/>
      <c r="F11" s="23" t="n"/>
      <c r="G11" s="23" t="n"/>
      <c r="H11" s="23" t="n"/>
      <c r="I11" s="23" t="n"/>
      <c r="J11" s="23" t="n"/>
    </row>
    <row r="12" ht="24" customHeight="1">
      <c r="A12" s="21" t="n">
        <v>7</v>
      </c>
      <c r="B12" s="19" t="inlineStr">
        <is>
          <t>Ammonia fuel conditioning skid (pumps, vaporiser/heater, filtration, buffer)</t>
        </is>
      </c>
      <c r="C12" s="23" t="n"/>
      <c r="D12" s="23" t="n"/>
      <c r="E12" s="23" t="n"/>
      <c r="F12" s="23" t="n"/>
      <c r="G12" s="23" t="n"/>
      <c r="H12" s="23" t="n"/>
      <c r="I12" s="23" t="n"/>
      <c r="J12" s="23" t="n"/>
    </row>
    <row r="13" ht="24" customHeight="1">
      <c r="A13" s="21" t="n">
        <v>8</v>
      </c>
      <c r="B13" s="19" t="inlineStr">
        <is>
          <t>Fuel valve train / fuel valve unit (double block and bleed)</t>
        </is>
      </c>
      <c r="C13" s="23" t="n"/>
      <c r="D13" s="23" t="n"/>
      <c r="E13" s="23" t="n"/>
      <c r="F13" s="23" t="n"/>
      <c r="G13" s="23" t="n"/>
      <c r="H13" s="23" t="n"/>
      <c r="I13" s="23" t="n"/>
      <c r="J13" s="23" t="n"/>
    </row>
    <row r="14" ht="24" customHeight="1">
      <c r="A14" s="21" t="n">
        <v>9</v>
      </c>
      <c r="B14" s="19" t="inlineStr">
        <is>
          <t>Double-walled ammonia piping, fittings and ventilated annulus</t>
        </is>
      </c>
      <c r="C14" s="23" t="n"/>
      <c r="D14" s="23" t="n"/>
      <c r="E14" s="23" t="n"/>
      <c r="F14" s="23" t="n"/>
      <c r="G14" s="23" t="n"/>
      <c r="H14" s="23" t="n"/>
      <c r="I14" s="23" t="n"/>
      <c r="J14" s="23" t="n"/>
    </row>
    <row r="15" ht="24" customHeight="1">
      <c r="A15" s="21" t="n">
        <v>10</v>
      </c>
      <c r="B15" s="19" t="inlineStr">
        <is>
          <t>SCR reactor and NOx catalyst</t>
        </is>
      </c>
      <c r="C15" s="23" t="n"/>
      <c r="D15" s="23" t="n"/>
      <c r="E15" s="23" t="n"/>
      <c r="F15" s="23" t="n"/>
      <c r="G15" s="23" t="n"/>
      <c r="H15" s="23" t="n"/>
      <c r="I15" s="23" t="n"/>
      <c r="J15" s="23" t="n"/>
    </row>
    <row r="16" ht="24" customHeight="1">
      <c r="A16" s="21" t="n">
        <v>11</v>
      </c>
      <c r="B16" s="19" t="inlineStr">
        <is>
          <t>Ammonia oxidation / slip catalyst (AMOX / ASC)</t>
        </is>
      </c>
      <c r="C16" s="23" t="n"/>
      <c r="D16" s="23" t="n"/>
      <c r="E16" s="23" t="n"/>
      <c r="F16" s="23" t="n"/>
      <c r="G16" s="23" t="n"/>
      <c r="H16" s="23" t="n"/>
      <c r="I16" s="23" t="n"/>
      <c r="J16" s="23" t="n"/>
    </row>
    <row r="17" ht="24" customHeight="1">
      <c r="A17" s="21" t="n">
        <v>12</v>
      </c>
      <c r="B17" s="19" t="inlineStr">
        <is>
          <t>Dedicated N2O catalyst</t>
        </is>
      </c>
      <c r="C17" s="23" t="n"/>
      <c r="D17" s="23" t="n"/>
      <c r="E17" s="23" t="n"/>
      <c r="F17" s="23" t="n"/>
      <c r="G17" s="23" t="n"/>
      <c r="H17" s="23" t="n"/>
      <c r="I17" s="23" t="n"/>
      <c r="J17" s="23" t="n"/>
    </row>
    <row r="18" ht="24" customHeight="1">
      <c r="A18" s="21" t="n">
        <v>13</v>
      </c>
      <c r="B18" s="19" t="inlineStr">
        <is>
          <t>Oxidation catalyst (CO / UHC)</t>
        </is>
      </c>
      <c r="C18" s="23" t="n"/>
      <c r="D18" s="23" t="n"/>
      <c r="E18" s="23" t="n"/>
      <c r="F18" s="23" t="n"/>
      <c r="G18" s="23" t="n"/>
      <c r="H18" s="23" t="n"/>
      <c r="I18" s="23" t="n"/>
      <c r="J18" s="23" t="n"/>
    </row>
    <row r="19" ht="24" customHeight="1">
      <c r="A19" s="21" t="n">
        <v>14</v>
      </c>
      <c r="B19" s="19" t="inlineStr">
        <is>
          <t>Reagent dosing and storage system</t>
        </is>
      </c>
      <c r="C19" s="23" t="n"/>
      <c r="D19" s="23" t="n"/>
      <c r="E19" s="23" t="n"/>
      <c r="F19" s="23" t="n"/>
      <c r="G19" s="23" t="n"/>
      <c r="H19" s="23" t="n"/>
      <c r="I19" s="23" t="n"/>
      <c r="J19" s="23" t="n"/>
    </row>
    <row r="20" ht="24" customHeight="1">
      <c r="A20" s="21" t="n">
        <v>15</v>
      </c>
      <c r="B20" s="19" t="inlineStr">
        <is>
          <t>Exhaust gas system, silencer, stack and CEMS</t>
        </is>
      </c>
      <c r="C20" s="23" t="n"/>
      <c r="D20" s="23" t="n"/>
      <c r="E20" s="23" t="n"/>
      <c r="F20" s="23" t="n"/>
      <c r="G20" s="23" t="n"/>
      <c r="H20" s="23" t="n"/>
      <c r="I20" s="23" t="n"/>
      <c r="J20" s="23" t="n"/>
    </row>
    <row r="21" ht="24" customHeight="1">
      <c r="A21" s="21" t="n">
        <v>16</v>
      </c>
      <c r="B21" s="19" t="inlineStr">
        <is>
          <t>Nitrogen generation / bottle bank package</t>
        </is>
      </c>
      <c r="C21" s="23" t="n"/>
      <c r="D21" s="23" t="n"/>
      <c r="E21" s="23" t="n"/>
      <c r="F21" s="23" t="n"/>
      <c r="G21" s="23" t="n"/>
      <c r="H21" s="23" t="n"/>
      <c r="I21" s="23" t="n"/>
      <c r="J21" s="23" t="n"/>
    </row>
    <row r="22" ht="24" customHeight="1">
      <c r="A22" s="21" t="n">
        <v>17</v>
      </c>
      <c r="B22" s="19" t="inlineStr">
        <is>
          <t>Ammonia vent scrubber / absorber and effluent handling</t>
        </is>
      </c>
      <c r="C22" s="23" t="n"/>
      <c r="D22" s="23" t="n"/>
      <c r="E22" s="23" t="n"/>
      <c r="F22" s="23" t="n"/>
      <c r="G22" s="23" t="n"/>
      <c r="H22" s="23" t="n"/>
      <c r="I22" s="23" t="n"/>
      <c r="J22" s="23" t="n"/>
    </row>
    <row r="23" ht="24" customHeight="1">
      <c r="A23" s="21" t="n">
        <v>18</v>
      </c>
      <c r="B23" s="19" t="inlineStr">
        <is>
          <t>Ammonia day tank / buffer vessel</t>
        </is>
      </c>
      <c r="C23" s="23" t="n"/>
      <c r="D23" s="23" t="n"/>
      <c r="E23" s="23" t="n"/>
      <c r="F23" s="23" t="n"/>
      <c r="G23" s="23" t="n"/>
      <c r="H23" s="23" t="n"/>
      <c r="I23" s="23" t="n"/>
      <c r="J23" s="23" t="n"/>
    </row>
    <row r="24" ht="24" customHeight="1">
      <c r="A24" s="21" t="n">
        <v>19</v>
      </c>
      <c r="B24" s="19" t="inlineStr">
        <is>
          <t>Gas and leak detection (ppm-level) and fire and gas system</t>
        </is>
      </c>
      <c r="C24" s="23" t="n"/>
      <c r="D24" s="23" t="n"/>
      <c r="E24" s="23" t="n"/>
      <c r="F24" s="23" t="n"/>
      <c r="G24" s="23" t="n"/>
      <c r="H24" s="23" t="n"/>
      <c r="I24" s="23" t="n"/>
      <c r="J24" s="23" t="n"/>
    </row>
    <row r="25" ht="24" customHeight="1">
      <c r="A25" s="21" t="n">
        <v>20</v>
      </c>
      <c r="B25" s="19" t="inlineStr">
        <is>
          <t>Engine control system and ammonia safety PLC</t>
        </is>
      </c>
      <c r="C25" s="23" t="n"/>
      <c r="D25" s="23" t="n"/>
      <c r="E25" s="23" t="n"/>
      <c r="F25" s="23" t="n"/>
      <c r="G25" s="23" t="n"/>
      <c r="H25" s="23" t="n"/>
      <c r="I25" s="23" t="n"/>
      <c r="J25" s="23" t="n"/>
    </row>
    <row r="26" ht="24" customHeight="1">
      <c r="A26" s="21" t="n">
        <v>21</v>
      </c>
      <c r="B26" s="19" t="inlineStr">
        <is>
          <t>MV switchgear, transformer and protection</t>
        </is>
      </c>
      <c r="C26" s="23" t="n"/>
      <c r="D26" s="23" t="n"/>
      <c r="E26" s="23" t="n"/>
      <c r="F26" s="23" t="n"/>
      <c r="G26" s="23" t="n"/>
      <c r="H26" s="23" t="n"/>
      <c r="I26" s="23" t="n"/>
      <c r="J26" s="23" t="n"/>
    </row>
    <row r="27" ht="24" customHeight="1">
      <c r="A27" s="21" t="n">
        <v>22</v>
      </c>
      <c r="B27" s="19" t="inlineStr">
        <is>
          <t>Cooling system (radiators or cooling tower) and heat rejection</t>
        </is>
      </c>
      <c r="C27" s="23" t="n"/>
      <c r="D27" s="23" t="n"/>
      <c r="E27" s="23" t="n"/>
      <c r="F27" s="23" t="n"/>
      <c r="G27" s="23" t="n"/>
      <c r="H27" s="23" t="n"/>
      <c r="I27" s="23" t="n"/>
      <c r="J27" s="23" t="n"/>
    </row>
    <row r="28" ht="24" customHeight="1">
      <c r="A28" s="21" t="n">
        <v>23</v>
      </c>
      <c r="B28" s="19" t="inlineStr">
        <is>
          <t>Overhead crane and maintenance handling</t>
        </is>
      </c>
      <c r="C28" s="23" t="n"/>
      <c r="D28" s="23" t="n"/>
      <c r="E28" s="23" t="n"/>
      <c r="F28" s="23" t="n"/>
      <c r="G28" s="23" t="n"/>
      <c r="H28" s="23" t="n"/>
      <c r="I28" s="23" t="n"/>
      <c r="J28" s="23" t="n"/>
    </row>
    <row r="29" ht="24" customHeight="1">
      <c r="A29" s="21" t="n">
        <v>24</v>
      </c>
      <c r="B29" s="19" t="inlineStr">
        <is>
          <t>Ammonia-specific capital spares set</t>
        </is>
      </c>
      <c r="C29" s="23" t="n"/>
      <c r="D29" s="23" t="n"/>
      <c r="E29" s="23" t="n"/>
      <c r="F29" s="23" t="n"/>
      <c r="G29" s="23" t="n"/>
      <c r="H29" s="23" t="n"/>
      <c r="I29" s="23" t="n"/>
      <c r="J29" s="23" t="n"/>
    </row>
    <row r="30">
      <c r="A30" s="17" t="n"/>
      <c r="B30" s="52" t="inlineStr">
        <is>
          <t>Longest quoted lead time (weeks)</t>
        </is>
      </c>
      <c r="C30" s="17" t="n"/>
      <c r="D30" s="17" t="n"/>
      <c r="E30" s="17" t="n"/>
      <c r="F30" s="57">
        <f>IF(COUNT(F6:F29)=0,"",MAX(F6:F29))</f>
        <v/>
      </c>
      <c r="G30" s="17" t="n"/>
      <c r="H30" s="52">
        <f>COUNTIF(H6:H29,"Y")&amp;" item(s) on critical path"</f>
        <v/>
      </c>
      <c r="I30" s="17" t="n"/>
      <c r="J30" s="17" t="n"/>
    </row>
    <row r="31">
      <c r="A31" s="17" t="n"/>
      <c r="B31" s="52" t="inlineStr">
        <is>
          <t>Single-sourced items</t>
        </is>
      </c>
      <c r="C31" s="17" t="n"/>
      <c r="D31" s="17" t="n"/>
      <c r="E31" s="58">
        <f>COUNTIF(E6:E29,"Y")</f>
        <v/>
      </c>
      <c r="F31" s="17" t="n"/>
      <c r="G31" s="17" t="n"/>
      <c r="H31" s="17" t="n"/>
      <c r="I31" s="17" t="n"/>
      <c r="J31" s="17" t="n"/>
    </row>
    <row r="33" ht="22" customHeight="1">
      <c r="A33" s="16" t="inlineStr">
        <is>
          <t>BLOCK 2 — SCHEDULE FROM PURCHASE ORDER TO COMMERCIAL OPERATION (populate from question K-05)</t>
        </is>
      </c>
      <c r="B33" s="17" t="n"/>
      <c r="C33" s="17" t="n"/>
      <c r="D33" s="17" t="n"/>
      <c r="E33" s="17" t="n"/>
      <c r="F33" s="17" t="n"/>
      <c r="G33" s="17" t="n"/>
      <c r="H33" s="17" t="n"/>
      <c r="I33" s="17" t="n"/>
      <c r="J33" s="17" t="n"/>
    </row>
    <row r="34" ht="32" customHeight="1">
      <c r="A34" s="14" t="inlineStr">
        <is>
          <t>#</t>
        </is>
      </c>
      <c r="B34" s="14" t="inlineStr">
        <is>
          <t>Milestone</t>
        </is>
      </c>
      <c r="C34" s="14" t="inlineStr">
        <is>
          <t>Predecessor</t>
        </is>
      </c>
      <c r="D34" s="14" t="inlineStr">
        <is>
          <t>OEM duration (weeks)</t>
        </is>
      </c>
      <c r="E34" s="14" t="inlineStr">
        <is>
          <t>Cumulative week</t>
        </is>
      </c>
      <c r="F34" s="14" t="inlineStr">
        <is>
          <t>Target date</t>
        </is>
      </c>
      <c r="G34" s="14" t="inlineStr">
        <is>
          <t>Responsibility</t>
        </is>
      </c>
      <c r="H34" s="14" t="inlineStr">
        <is>
          <t>Float (weeks)</t>
        </is>
      </c>
      <c r="I34" s="14" t="inlineStr">
        <is>
          <t>Prerequisite from owner</t>
        </is>
      </c>
      <c r="J34" s="14" t="inlineStr">
        <is>
          <t>Evidence / status</t>
        </is>
      </c>
    </row>
    <row r="35" ht="22" customHeight="1">
      <c r="A35" s="21" t="n">
        <v>1</v>
      </c>
      <c r="B35" s="19" t="inlineStr">
        <is>
          <t>Contract effective date / notice to proceed</t>
        </is>
      </c>
      <c r="C35" s="21" t="inlineStr">
        <is>
          <t>-</t>
        </is>
      </c>
      <c r="D35" s="59" t="n"/>
      <c r="E35" s="60">
        <f>IF(COUNT($D$35:$D35)=0,"",SUM($D$35:$D35))</f>
        <v/>
      </c>
      <c r="F35" s="23" t="n"/>
      <c r="G35" s="23" t="n"/>
      <c r="H35" s="23" t="n"/>
      <c r="I35" s="23" t="n"/>
      <c r="J35" s="23" t="n"/>
    </row>
    <row r="36" ht="22" customHeight="1">
      <c r="A36" s="21" t="n">
        <v>2</v>
      </c>
      <c r="B36" s="19" t="inlineStr">
        <is>
          <t>Engineering release / design freeze</t>
        </is>
      </c>
      <c r="C36" s="21" t="inlineStr">
        <is>
          <t>1</t>
        </is>
      </c>
      <c r="D36" s="59" t="n"/>
      <c r="E36" s="60">
        <f>IF(COUNT($D$35:$D36)=0,"",SUM($D$35:$D36))</f>
        <v/>
      </c>
      <c r="F36" s="23" t="n"/>
      <c r="G36" s="23" t="n"/>
      <c r="H36" s="23" t="n"/>
      <c r="I36" s="23" t="n"/>
      <c r="J36" s="23" t="n"/>
    </row>
    <row r="37" ht="22" customHeight="1">
      <c r="A37" s="21" t="n">
        <v>3</v>
      </c>
      <c r="B37" s="19" t="inlineStr">
        <is>
          <t>Long-lead purchase orders placed</t>
        </is>
      </c>
      <c r="C37" s="21" t="inlineStr">
        <is>
          <t>2</t>
        </is>
      </c>
      <c r="D37" s="59" t="n"/>
      <c r="E37" s="60">
        <f>IF(COUNT($D$35:$D37)=0,"",SUM($D$35:$D37))</f>
        <v/>
      </c>
      <c r="F37" s="23" t="n"/>
      <c r="G37" s="23" t="n"/>
      <c r="H37" s="23" t="n"/>
      <c r="I37" s="23" t="n"/>
      <c r="J37" s="23" t="n"/>
    </row>
    <row r="38" ht="22" customHeight="1">
      <c r="A38" s="21" t="n">
        <v>4</v>
      </c>
      <c r="B38" s="19" t="inlineStr">
        <is>
          <t>Major component manufacture (engine, alternator, turbocharger)</t>
        </is>
      </c>
      <c r="C38" s="21" t="inlineStr">
        <is>
          <t>3</t>
        </is>
      </c>
      <c r="D38" s="59" t="n"/>
      <c r="E38" s="60">
        <f>IF(COUNT($D$35:$D38)=0,"",SUM($D$35:$D38))</f>
        <v/>
      </c>
      <c r="F38" s="23" t="n"/>
      <c r="G38" s="23" t="n"/>
      <c r="H38" s="23" t="n"/>
      <c r="I38" s="23" t="n"/>
      <c r="J38" s="23" t="n"/>
    </row>
    <row r="39" ht="22" customHeight="1">
      <c r="A39" s="21" t="n">
        <v>5</v>
      </c>
      <c r="B39" s="19" t="inlineStr">
        <is>
          <t>Ammonia fuel skid and after-treatment manufacture</t>
        </is>
      </c>
      <c r="C39" s="21" t="inlineStr">
        <is>
          <t>3</t>
        </is>
      </c>
      <c r="D39" s="59" t="n"/>
      <c r="E39" s="60">
        <f>IF(COUNT($D$35:$D39)=0,"",SUM($D$35:$D39))</f>
        <v/>
      </c>
      <c r="F39" s="23" t="n"/>
      <c r="G39" s="23" t="n"/>
      <c r="H39" s="23" t="n"/>
      <c r="I39" s="23" t="n"/>
      <c r="J39" s="23" t="n"/>
    </row>
    <row r="40" ht="22" customHeight="1">
      <c r="A40" s="21" t="n">
        <v>6</v>
      </c>
      <c r="B40" s="19" t="inlineStr">
        <is>
          <t>Factory acceptance test — mechanical</t>
        </is>
      </c>
      <c r="C40" s="21" t="inlineStr">
        <is>
          <t>4</t>
        </is>
      </c>
      <c r="D40" s="59" t="n"/>
      <c r="E40" s="60">
        <f>IF(COUNT($D$35:$D40)=0,"",SUM($D$35:$D40))</f>
        <v/>
      </c>
      <c r="F40" s="23" t="n"/>
      <c r="G40" s="23" t="n"/>
      <c r="H40" s="23" t="n"/>
      <c r="I40" s="23" t="n"/>
      <c r="J40" s="23" t="n"/>
    </row>
    <row r="41" ht="22" customHeight="1">
      <c r="A41" s="21" t="n">
        <v>7</v>
      </c>
      <c r="B41" s="19" t="inlineStr">
        <is>
          <t>Factory acceptance test — ammonia firing at works (confirm if offered)</t>
        </is>
      </c>
      <c r="C41" s="21" t="inlineStr">
        <is>
          <t>6</t>
        </is>
      </c>
      <c r="D41" s="59" t="n"/>
      <c r="E41" s="60">
        <f>IF(COUNT($D$35:$D41)=0,"",SUM($D$35:$D41))</f>
        <v/>
      </c>
      <c r="F41" s="23" t="n"/>
      <c r="G41" s="23" t="n"/>
      <c r="H41" s="23" t="n"/>
      <c r="I41" s="23" t="n"/>
      <c r="J41" s="23" t="n"/>
    </row>
    <row r="42" ht="22" customHeight="1">
      <c r="A42" s="21" t="n">
        <v>8</v>
      </c>
      <c r="B42" s="19" t="inlineStr">
        <is>
          <t>Shipment / marine transport to site</t>
        </is>
      </c>
      <c r="C42" s="21" t="inlineStr">
        <is>
          <t>7</t>
        </is>
      </c>
      <c r="D42" s="59" t="n"/>
      <c r="E42" s="60">
        <f>IF(COUNT($D$35:$D42)=0,"",SUM($D$35:$D42))</f>
        <v/>
      </c>
      <c r="F42" s="23" t="n"/>
      <c r="G42" s="23" t="n"/>
      <c r="H42" s="23" t="n"/>
      <c r="I42" s="23" t="n"/>
      <c r="J42" s="23" t="n"/>
    </row>
    <row r="43" ht="22" customHeight="1">
      <c r="A43" s="21" t="n">
        <v>9</v>
      </c>
      <c r="B43" s="19" t="inlineStr">
        <is>
          <t>Site delivery and offloading</t>
        </is>
      </c>
      <c r="C43" s="21" t="inlineStr">
        <is>
          <t>8</t>
        </is>
      </c>
      <c r="D43" s="59" t="n"/>
      <c r="E43" s="60">
        <f>IF(COUNT($D$35:$D43)=0,"",SUM($D$35:$D43))</f>
        <v/>
      </c>
      <c r="F43" s="23" t="n"/>
      <c r="G43" s="23" t="n"/>
      <c r="H43" s="23" t="n"/>
      <c r="I43" s="23" t="n"/>
      <c r="J43" s="23" t="n"/>
    </row>
    <row r="44" ht="22" customHeight="1">
      <c r="A44" s="21" t="n">
        <v>10</v>
      </c>
      <c r="B44" s="19" t="inlineStr">
        <is>
          <t>Erection and mechanical completion</t>
        </is>
      </c>
      <c r="C44" s="21" t="inlineStr">
        <is>
          <t>9</t>
        </is>
      </c>
      <c r="D44" s="59" t="n"/>
      <c r="E44" s="60">
        <f>IF(COUNT($D$35:$D44)=0,"",SUM($D$35:$D44))</f>
        <v/>
      </c>
      <c r="F44" s="23" t="n"/>
      <c r="G44" s="23" t="n"/>
      <c r="H44" s="23" t="n"/>
      <c r="I44" s="23" t="n"/>
      <c r="J44" s="23" t="n"/>
    </row>
    <row r="45" ht="22" customHeight="1">
      <c r="A45" s="21" t="n">
        <v>11</v>
      </c>
      <c r="B45" s="19" t="inlineStr">
        <is>
          <t>Cold commissioning / loop checks / leak testing</t>
        </is>
      </c>
      <c r="C45" s="21" t="inlineStr">
        <is>
          <t>10</t>
        </is>
      </c>
      <c r="D45" s="59" t="n"/>
      <c r="E45" s="60">
        <f>IF(COUNT($D$35:$D45)=0,"",SUM($D$35:$D45))</f>
        <v/>
      </c>
      <c r="F45" s="23" t="n"/>
      <c r="G45" s="23" t="n"/>
      <c r="H45" s="23" t="n"/>
      <c r="I45" s="23" t="n"/>
      <c r="J45" s="23" t="n"/>
    </row>
    <row r="46" ht="22" customHeight="1">
      <c r="A46" s="21" t="n">
        <v>12</v>
      </c>
      <c r="B46" s="19" t="inlineStr">
        <is>
          <t>Nitrogen purge and fuel system commissioning</t>
        </is>
      </c>
      <c r="C46" s="21" t="inlineStr">
        <is>
          <t>11</t>
        </is>
      </c>
      <c r="D46" s="59" t="n"/>
      <c r="E46" s="60">
        <f>IF(COUNT($D$35:$D46)=0,"",SUM($D$35:$D46))</f>
        <v/>
      </c>
      <c r="F46" s="23" t="n"/>
      <c r="G46" s="23" t="n"/>
      <c r="H46" s="23" t="n"/>
      <c r="I46" s="23" t="n"/>
      <c r="J46" s="23" t="n"/>
    </row>
    <row r="47" ht="22" customHeight="1">
      <c r="A47" s="21" t="n">
        <v>13</v>
      </c>
      <c r="B47" s="19" t="inlineStr">
        <is>
          <t>First fire on pilot / back-up fuel</t>
        </is>
      </c>
      <c r="C47" s="21" t="inlineStr">
        <is>
          <t>12</t>
        </is>
      </c>
      <c r="D47" s="59" t="n"/>
      <c r="E47" s="60">
        <f>IF(COUNT($D$35:$D47)=0,"",SUM($D$35:$D47))</f>
        <v/>
      </c>
      <c r="F47" s="23" t="n"/>
      <c r="G47" s="23" t="n"/>
      <c r="H47" s="23" t="n"/>
      <c r="I47" s="23" t="n"/>
      <c r="J47" s="23" t="n"/>
    </row>
    <row r="48" ht="22" customHeight="1">
      <c r="A48" s="21" t="n">
        <v>14</v>
      </c>
      <c r="B48" s="19" t="inlineStr">
        <is>
          <t>Grid synchronisation and load testing on back-up fuel</t>
        </is>
      </c>
      <c r="C48" s="21" t="inlineStr">
        <is>
          <t>13</t>
        </is>
      </c>
      <c r="D48" s="59" t="n"/>
      <c r="E48" s="60">
        <f>IF(COUNT($D$35:$D48)=0,"",SUM($D$35:$D48))</f>
        <v/>
      </c>
      <c r="F48" s="23" t="n"/>
      <c r="G48" s="23" t="n"/>
      <c r="H48" s="23" t="n"/>
      <c r="I48" s="23" t="n"/>
      <c r="J48" s="23" t="n"/>
    </row>
    <row r="49" ht="22" customHeight="1">
      <c r="A49" s="21" t="n">
        <v>15</v>
      </c>
      <c r="B49" s="19" t="inlineStr">
        <is>
          <t>First fire on ammonia</t>
        </is>
      </c>
      <c r="C49" s="21" t="inlineStr">
        <is>
          <t>14</t>
        </is>
      </c>
      <c r="D49" s="59" t="n"/>
      <c r="E49" s="60">
        <f>IF(COUNT($D$35:$D49)=0,"",SUM($D$35:$D49))</f>
        <v/>
      </c>
      <c r="F49" s="23" t="n"/>
      <c r="G49" s="23" t="n"/>
      <c r="H49" s="23" t="n"/>
      <c r="I49" s="23" t="n"/>
      <c r="J49" s="23" t="n"/>
    </row>
    <row r="50" ht="22" customHeight="1">
      <c r="A50" s="21" t="n">
        <v>16</v>
      </c>
      <c r="B50" s="19" t="inlineStr">
        <is>
          <t>Fuel transition testing (diesel/NG to ammonia and reversion)</t>
        </is>
      </c>
      <c r="C50" s="21" t="inlineStr">
        <is>
          <t>15</t>
        </is>
      </c>
      <c r="D50" s="59" t="n"/>
      <c r="E50" s="60">
        <f>IF(COUNT($D$35:$D50)=0,"",SUM($D$35:$D50))</f>
        <v/>
      </c>
      <c r="F50" s="23" t="n"/>
      <c r="G50" s="23" t="n"/>
      <c r="H50" s="23" t="n"/>
      <c r="I50" s="23" t="n"/>
      <c r="J50" s="23" t="n"/>
    </row>
    <row r="51" ht="22" customHeight="1">
      <c r="A51" s="21" t="n">
        <v>17</v>
      </c>
      <c r="B51" s="19" t="inlineStr">
        <is>
          <t>Emissions compliance testing and after-treatment tuning</t>
        </is>
      </c>
      <c r="C51" s="21" t="inlineStr">
        <is>
          <t>16</t>
        </is>
      </c>
      <c r="D51" s="59" t="n"/>
      <c r="E51" s="60">
        <f>IF(COUNT($D$35:$D51)=0,"",SUM($D$35:$D51))</f>
        <v/>
      </c>
      <c r="F51" s="23" t="n"/>
      <c r="G51" s="23" t="n"/>
      <c r="H51" s="23" t="n"/>
      <c r="I51" s="23" t="n"/>
      <c r="J51" s="23" t="n"/>
    </row>
    <row r="52" ht="22" customHeight="1">
      <c r="A52" s="21" t="n">
        <v>18</v>
      </c>
      <c r="B52" s="19" t="inlineStr">
        <is>
          <t>Performance / guarantee test on ammonia</t>
        </is>
      </c>
      <c r="C52" s="21" t="inlineStr">
        <is>
          <t>17</t>
        </is>
      </c>
      <c r="D52" s="59" t="n"/>
      <c r="E52" s="60">
        <f>IF(COUNT($D$35:$D52)=0,"",SUM($D$35:$D52))</f>
        <v/>
      </c>
      <c r="F52" s="23" t="n"/>
      <c r="G52" s="23" t="n"/>
      <c r="H52" s="23" t="n"/>
      <c r="I52" s="23" t="n"/>
      <c r="J52" s="23" t="n"/>
    </row>
    <row r="53" ht="22" customHeight="1">
      <c r="A53" s="21" t="n">
        <v>19</v>
      </c>
      <c r="B53" s="19" t="inlineStr">
        <is>
          <t>Reliability run</t>
        </is>
      </c>
      <c r="C53" s="21" t="inlineStr">
        <is>
          <t>18</t>
        </is>
      </c>
      <c r="D53" s="59" t="n"/>
      <c r="E53" s="60">
        <f>IF(COUNT($D$35:$D53)=0,"",SUM($D$35:$D53))</f>
        <v/>
      </c>
      <c r="F53" s="23" t="n"/>
      <c r="G53" s="23" t="n"/>
      <c r="H53" s="23" t="n"/>
      <c r="I53" s="23" t="n"/>
      <c r="J53" s="23" t="n"/>
    </row>
    <row r="54" ht="22" customHeight="1">
      <c r="A54" s="21" t="n">
        <v>20</v>
      </c>
      <c r="B54" s="19" t="inlineStr">
        <is>
          <t>Commercial operation date (COD)</t>
        </is>
      </c>
      <c r="C54" s="21" t="inlineStr">
        <is>
          <t>19</t>
        </is>
      </c>
      <c r="D54" s="59" t="n"/>
      <c r="E54" s="60">
        <f>IF(COUNT($D$35:$D54)=0,"",SUM($D$35:$D54))</f>
        <v/>
      </c>
      <c r="F54" s="23" t="n"/>
      <c r="G54" s="23" t="n"/>
      <c r="H54" s="23" t="n"/>
      <c r="I54" s="23" t="n"/>
      <c r="J54" s="23" t="n"/>
    </row>
    <row r="55">
      <c r="A55" s="32" t="n"/>
      <c r="B55" s="33" t="inlineStr">
        <is>
          <t>TOTAL PO TO COD</t>
        </is>
      </c>
      <c r="C55" s="32" t="n"/>
      <c r="D55" s="61">
        <f>IF(COUNT(D35:D54)=0,"",SUM(D35:D54))</f>
        <v/>
      </c>
      <c r="E55" s="57">
        <f>IF(D55="","",ROUND(D55/4.345,1)&amp;" months")</f>
        <v/>
      </c>
      <c r="F55" s="32" t="n"/>
      <c r="G55" s="32" t="n"/>
      <c r="H55" s="32" t="n"/>
      <c r="I55" s="32" t="n"/>
      <c r="J55" s="32" t="n"/>
    </row>
    <row r="57" ht="26" customHeight="1">
      <c r="A57" s="41" t="inlineStr">
        <is>
          <t>• Cumulative week assumes the milestones run strictly in sequence. Where the OEM's Level 2 schedule shows overlap, overwrite the cumulative column with the OEM's own dates and note it.</t>
        </is>
      </c>
    </row>
    <row r="58" ht="26" customHeight="1">
      <c r="A58" s="41" t="inlineStr">
        <is>
          <t>• Milestone 7 (ammonia fired at the works) is the single largest technical de-risking opportunity in the whole schedule — confirm whether the OEM offers it (question K-07).</t>
        </is>
      </c>
    </row>
    <row r="59" ht="26" customHeight="1">
      <c r="A59" s="41" t="inlineStr">
        <is>
          <t>• Milestones 15 to 19 are the ammonia-specific acceptance sequence. If the OEM offers staged acceptance (question M-12), COD on back-up fuel can be taken at milestone 14, with ammonia acceptance following separately.</t>
        </is>
      </c>
    </row>
    <row r="60" ht="26" customHeight="1">
      <c r="A60" s="41" t="inlineStr">
        <is>
          <t>• Commissioning ammonia quantity, source and cost (question K-09) is an owner prerequisite that is routinely missed until it becomes critical path.</t>
        </is>
      </c>
    </row>
  </sheetData>
  <mergeCells count="7">
    <mergeCell ref="A58:J58"/>
    <mergeCell ref="A4:J4"/>
    <mergeCell ref="A59:J59"/>
    <mergeCell ref="A57:J57"/>
    <mergeCell ref="A2:J2"/>
    <mergeCell ref="A60:J60"/>
    <mergeCell ref="A33:J33"/>
  </mergeCells>
  <dataValidations count="1">
    <dataValidation sqref="E6:E29 H6:H29"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tabColor rgb="00203864"/>
    <outlinePr summaryBelow="1" summaryRight="1"/>
    <pageSetUpPr/>
  </sheetPr>
  <dimension ref="A1:H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42" customWidth="1" min="3" max="3"/>
    <col width="46" customWidth="1" min="4" max="4"/>
    <col width="34" customWidth="1" min="5" max="5"/>
    <col width="26" customWidth="1" min="6" max="6"/>
    <col width="34" customWidth="1" min="7" max="7"/>
    <col width="18" customWidth="1" min="8" max="8"/>
  </cols>
  <sheetData>
    <row r="1" ht="20" customHeight="1">
      <c r="A1" s="1" t="inlineStr">
        <is>
          <t>Sheet 5 — Contract &amp; Performance De-risking Checklist</t>
        </is>
      </c>
    </row>
    <row r="2" ht="26" customHeight="1">
      <c r="A2" s="2" t="inlineStr">
        <is>
          <t>Populate from section M (and A-08, I-07, J-05). 'Our target position' is a proposed negotiating start point, not a contractual requirement — agree it internally before the meeting. Yellow columns capture the OEM's actual position.</t>
        </is>
      </c>
    </row>
    <row r="4" ht="42" customHeight="1">
      <c r="A4" s="14" t="inlineStr">
        <is>
          <t>Ref</t>
        </is>
      </c>
      <c r="B4" s="14" t="inlineStr">
        <is>
          <t>Item</t>
        </is>
      </c>
      <c r="C4" s="14" t="inlineStr">
        <is>
          <t>What to secure</t>
        </is>
      </c>
      <c r="D4" s="14" t="inlineStr">
        <is>
          <t>Our target position (proposed — agree internally)</t>
        </is>
      </c>
      <c r="E4" s="14" t="inlineStr">
        <is>
          <t>OEM position</t>
        </is>
      </c>
      <c r="F4" s="14" t="inlineStr">
        <is>
          <t>Gap</t>
        </is>
      </c>
      <c r="G4" s="14" t="inlineStr">
        <is>
          <t>De-risk action</t>
        </is>
      </c>
      <c r="H4" s="14" t="inlineStr">
        <is>
          <t>Owner / by when</t>
        </is>
      </c>
    </row>
    <row r="5" ht="22" customHeight="1">
      <c r="A5" s="16" t="inlineStr">
        <is>
          <t>GUARANTEE SCOPE</t>
        </is>
      </c>
      <c r="B5" s="17" t="n"/>
      <c r="C5" s="17" t="n"/>
      <c r="D5" s="17" t="n"/>
      <c r="E5" s="17" t="n"/>
      <c r="F5" s="17" t="n"/>
      <c r="G5" s="17" t="n"/>
      <c r="H5" s="17" t="n"/>
    </row>
    <row r="6" ht="42" customHeight="1">
      <c r="A6" s="62" t="inlineStr">
        <is>
          <t>M-01</t>
        </is>
      </c>
      <c r="B6" s="27" t="inlineStr">
        <is>
          <t>Guaranteed parameter list</t>
        </is>
      </c>
      <c r="C6" s="19" t="inlineStr">
        <is>
          <t>Every parameter that matters commercially is on the guarantee schedule, not just output.</t>
        </is>
      </c>
      <c r="D6" s="63" t="inlineStr">
        <is>
          <t>Guaranteed on ammonia: net output, net efficiency/heat rate, maximum ammonia energy share, NOx, N2O, ammonia slip, availability, reliability, degradation cap, auxiliary load, noise.</t>
        </is>
      </c>
      <c r="E6" s="23" t="n"/>
      <c r="F6" s="23" t="n"/>
      <c r="G6" s="23" t="n"/>
      <c r="H6" s="23" t="n"/>
    </row>
    <row r="7" ht="42" customHeight="1">
      <c r="A7" s="62" t="inlineStr">
        <is>
          <t>M-02</t>
        </is>
      </c>
      <c r="B7" s="27" t="inlineStr">
        <is>
          <t>Test basis and correction curves</t>
        </is>
      </c>
      <c r="C7" s="19" t="inlineStr">
        <is>
          <t>A named test standard, stated tolerance, defined test conditions and correction curves for every guaranteed parameter.</t>
        </is>
      </c>
      <c r="D7" s="63" t="inlineStr">
        <is>
          <t>ISO 3046-1 / ISO 8528 / ASME PTC 17 as applicable, agreed before contract signature, with correction curves attached as an exhibit.</t>
        </is>
      </c>
      <c r="E7" s="23" t="n"/>
      <c r="F7" s="23" t="n"/>
      <c r="G7" s="23" t="n"/>
      <c r="H7" s="23" t="n"/>
    </row>
    <row r="8" ht="42" customHeight="1">
      <c r="A8" s="62" t="inlineStr">
        <is>
          <t>M-08</t>
        </is>
      </c>
      <c r="B8" s="27" t="inlineStr">
        <is>
          <t>Ammonia-mode availability</t>
        </is>
      </c>
      <c r="C8" s="19" t="inlineStr">
        <is>
          <t>An explicit written answer on whether availability is guaranteed for AMMONIA operation or only back-up fuel.</t>
        </is>
      </c>
      <c r="D8" s="63" t="inlineStr">
        <is>
          <t>Availability guaranteed for ammonia operation. If refused, the refusal must be explicit and priced into the commercial comparison.</t>
        </is>
      </c>
      <c r="E8" s="23" t="n"/>
      <c r="F8" s="23" t="n"/>
      <c r="G8" s="23" t="n"/>
      <c r="H8" s="23" t="n"/>
    </row>
    <row r="9" ht="42" customHeight="1">
      <c r="A9" s="62" t="inlineStr">
        <is>
          <t>G-08</t>
        </is>
      </c>
      <c r="B9" s="27" t="inlineStr">
        <is>
          <t>Emissions guarantee basis</t>
        </is>
      </c>
      <c r="C9" s="19" t="inlineStr">
        <is>
          <t>Emissions guaranteed against a named regulatory limit set the OEM has already demonstrated.</t>
        </is>
      </c>
      <c r="D9" s="63" t="inlineStr">
        <is>
          <t>Guaranteed against the applicable Malaysia DOE limit set and, where relevant to the offtake, the Singapore NEA basis; ammonia slip included.</t>
        </is>
      </c>
      <c r="E9" s="23" t="n"/>
      <c r="F9" s="23" t="n"/>
      <c r="G9" s="23" t="n"/>
      <c r="H9" s="23" t="n"/>
    </row>
    <row r="10" ht="22" customHeight="1">
      <c r="A10" s="16" t="inlineStr">
        <is>
          <t>LIQUIDATED DAMAGES &amp; LIABILITY</t>
        </is>
      </c>
      <c r="B10" s="17" t="n"/>
      <c r="C10" s="17" t="n"/>
      <c r="D10" s="17" t="n"/>
      <c r="E10" s="17" t="n"/>
      <c r="F10" s="17" t="n"/>
      <c r="G10" s="17" t="n"/>
      <c r="H10" s="17" t="n"/>
    </row>
    <row r="11" ht="42" customHeight="1">
      <c r="A11" s="62" t="inlineStr">
        <is>
          <t>M-03</t>
        </is>
      </c>
      <c r="B11" s="27" t="inlineStr">
        <is>
          <t>Performance and delay LDs</t>
        </is>
      </c>
      <c r="C11" s="19" t="inlineStr">
        <is>
          <t>LD rates and caps as a percentage of contract price, and whether LDs are the sole remedy.</t>
        </is>
      </c>
      <c r="D11" s="63" t="inlineStr">
        <is>
          <t>Performance LDs on efficiency, output and ammonia share; delay LDs; caps at market norms; LDs not the sole remedy for a fundamental technology failure.</t>
        </is>
      </c>
      <c r="E11" s="23" t="n"/>
      <c r="F11" s="23" t="n"/>
      <c r="G11" s="23" t="n"/>
      <c r="H11" s="23" t="n"/>
    </row>
    <row r="12" ht="42" customHeight="1">
      <c r="A12" s="62" t="inlineStr">
        <is>
          <t>M-04</t>
        </is>
      </c>
      <c r="B12" s="27" t="inlineStr">
        <is>
          <t>Limitation of liability</t>
        </is>
      </c>
      <c r="C12" s="19" t="inlineStr">
        <is>
          <t>The overall liability cap and the treatment of consequential damages.</t>
        </is>
      </c>
      <c r="D12" s="63" t="inlineStr">
        <is>
          <t>Liability cap negotiated upward for a first-of-a-kind unit relative to a standard natural-gas supply contract.</t>
        </is>
      </c>
      <c r="E12" s="23" t="n"/>
      <c r="F12" s="23" t="n"/>
      <c r="G12" s="23" t="n"/>
      <c r="H12" s="23" t="n"/>
    </row>
    <row r="13" ht="42" customHeight="1">
      <c r="A13" s="62" t="inlineStr">
        <is>
          <t>M-05</t>
        </is>
      </c>
      <c r="B13" s="27" t="inlineStr">
        <is>
          <t>Rejection threshold</t>
        </is>
      </c>
      <c r="C13" s="19" t="inlineStr">
        <is>
          <t>A defined shortfall level at which we may reject, with the remedy stated.</t>
        </is>
      </c>
      <c r="D13" s="63" t="inlineStr">
        <is>
          <t>Rejection right at a defined shortfall in ammonia energy share, net efficiency or ammonia-mode availability, with buy-back or replacement.</t>
        </is>
      </c>
      <c r="E13" s="23" t="n"/>
      <c r="F13" s="23" t="n"/>
      <c r="G13" s="23" t="n"/>
      <c r="H13" s="23" t="n"/>
    </row>
    <row r="14" ht="22" customHeight="1">
      <c r="A14" s="16" t="inlineStr">
        <is>
          <t>WARRANTY &amp; LIFECYCLE</t>
        </is>
      </c>
      <c r="B14" s="17" t="n"/>
      <c r="C14" s="17" t="n"/>
      <c r="D14" s="17" t="n"/>
      <c r="E14" s="17" t="n"/>
      <c r="F14" s="17" t="n"/>
      <c r="G14" s="17" t="n"/>
      <c r="H14" s="17" t="n"/>
    </row>
    <row r="15" ht="42" customHeight="1">
      <c r="A15" s="62" t="inlineStr">
        <is>
          <t>M-06</t>
        </is>
      </c>
      <c r="B15" s="27" t="inlineStr">
        <is>
          <t>Warranty</t>
        </is>
      </c>
      <c r="C15" s="19" t="inlineStr">
        <is>
          <t>Period, scope, and confirmation that ammonia-specific parts are not carved out.</t>
        </is>
      </c>
      <c r="D15" s="63" t="inlineStr">
        <is>
          <t>Extended warranty for the ammonia-specific scope (injectors, fuel skid, catalyst) relative to standard parts, given the absence of field precedent.</t>
        </is>
      </c>
      <c r="E15" s="23" t="n"/>
      <c r="F15" s="23" t="n"/>
      <c r="G15" s="23" t="n"/>
      <c r="H15" s="23" t="n"/>
    </row>
    <row r="16" ht="42" customHeight="1">
      <c r="A16" s="62" t="inlineStr">
        <is>
          <t>M-07</t>
        </is>
      </c>
      <c r="B16" s="27" t="inlineStr">
        <is>
          <t>Long-term service agreement</t>
        </is>
      </c>
      <c r="C16" s="19" t="inlineStr">
        <is>
          <t>Structure, term, availability guarantee, and whether ammonia consumables and catalyst are covered.</t>
        </is>
      </c>
      <c r="D16" s="63" t="inlineStr">
        <is>
          <t>LTSA covering ammonia-specific consumables, injectors and catalyst replacement, with an availability guarantee and bonus/LD mechanism.</t>
        </is>
      </c>
      <c r="E16" s="23" t="n"/>
      <c r="F16" s="23" t="n"/>
      <c r="G16" s="23" t="n"/>
      <c r="H16" s="23" t="n"/>
    </row>
    <row r="17" ht="42" customHeight="1">
      <c r="A17" s="62" t="inlineStr">
        <is>
          <t>I-07</t>
        </is>
      </c>
      <c r="B17" s="27" t="inlineStr">
        <is>
          <t>Obsolescence commitment</t>
        </is>
      </c>
      <c r="C17" s="19" t="inlineStr">
        <is>
          <t>A written parts-availability commitment for the ammonia variant.</t>
        </is>
      </c>
      <c r="D17" s="63" t="inlineStr">
        <is>
          <t>Parts availability guaranteed for the design life of the plant, backed by the continuity provisions below.</t>
        </is>
      </c>
      <c r="E17" s="23" t="n"/>
      <c r="F17" s="23" t="n"/>
      <c r="G17" s="23" t="n"/>
      <c r="H17" s="23" t="n"/>
    </row>
    <row r="18" ht="22" customHeight="1">
      <c r="A18" s="16" t="inlineStr">
        <is>
          <t>SECURITY &amp; PAYMENT</t>
        </is>
      </c>
      <c r="B18" s="17" t="n"/>
      <c r="C18" s="17" t="n"/>
      <c r="D18" s="17" t="n"/>
      <c r="E18" s="17" t="n"/>
      <c r="F18" s="17" t="n"/>
      <c r="G18" s="17" t="n"/>
      <c r="H18" s="17" t="n"/>
    </row>
    <row r="19" ht="42" customHeight="1">
      <c r="A19" s="62" t="inlineStr">
        <is>
          <t>M-09</t>
        </is>
      </c>
      <c r="B19" s="27" t="inlineStr">
        <is>
          <t>Security package</t>
        </is>
      </c>
      <c r="C19" s="19" t="inlineStr">
        <is>
          <t>Parent company guarantee, advance payment bond, performance bond, warranty bond — issuer, amount, validity.</t>
        </is>
      </c>
      <c r="D19" s="63" t="inlineStr">
        <is>
          <t>PCG from the ultimate parent; APB covering 100% of advance payments; performance bond and warranty bond at market norms.</t>
        </is>
      </c>
      <c r="E19" s="23" t="n"/>
      <c r="F19" s="23" t="n"/>
      <c r="G19" s="23" t="n"/>
      <c r="H19" s="23" t="n"/>
    </row>
    <row r="20" ht="42" customHeight="1">
      <c r="A20" s="62" t="inlineStr">
        <is>
          <t>M-10</t>
        </is>
      </c>
      <c r="B20" s="27" t="inlineStr">
        <is>
          <t>Payment milestones</t>
        </is>
      </c>
      <c r="C20" s="19" t="inlineStr">
        <is>
          <t>A milestone profile weighted towards demonstrated progress rather than time.</t>
        </is>
      </c>
      <c r="D20" s="63" t="inlineStr">
        <is>
          <t>Payment weighted to FAT (especially ammonia firing at works), delivery and ammonia acceptance; slot reservation refundable or creditable.</t>
        </is>
      </c>
      <c r="E20" s="23" t="n"/>
      <c r="F20" s="23" t="n"/>
      <c r="G20" s="23" t="n"/>
      <c r="H20" s="23" t="n"/>
    </row>
    <row r="21" ht="42" customHeight="1">
      <c r="A21" s="62" t="inlineStr">
        <is>
          <t>M-11</t>
        </is>
      </c>
      <c r="B21" s="27" t="inlineStr">
        <is>
          <t>Price validity and escalation</t>
        </is>
      </c>
      <c r="C21" s="19" t="inlineStr">
        <is>
          <t>Validity period and a bounded escalation formula.</t>
        </is>
      </c>
      <c r="D21" s="63" t="inlineStr">
        <is>
          <t>Fixed price for a defined validity window; any escalation capped and indexed to a published index.</t>
        </is>
      </c>
      <c r="E21" s="23" t="n"/>
      <c r="F21" s="23" t="n"/>
      <c r="G21" s="23" t="n"/>
      <c r="H21" s="23" t="n"/>
    </row>
    <row r="22" ht="22" customHeight="1">
      <c r="A22" s="16" t="inlineStr">
        <is>
          <t>FIRST-OF-A-KIND RISK</t>
        </is>
      </c>
      <c r="B22" s="17" t="n"/>
      <c r="C22" s="17" t="n"/>
      <c r="D22" s="17" t="n"/>
      <c r="E22" s="17" t="n"/>
      <c r="F22" s="17" t="n"/>
      <c r="G22" s="17" t="n"/>
      <c r="H22" s="17" t="n"/>
    </row>
    <row r="23" ht="42" customHeight="1">
      <c r="A23" s="62" t="inlineStr">
        <is>
          <t>A-08 / J-05</t>
        </is>
      </c>
      <c r="B23" s="27" t="inlineStr">
        <is>
          <t>FOAK classification and de-risking</t>
        </is>
      </c>
      <c r="C23" s="19" t="inlineStr">
        <is>
          <t>The OEM's own classification of this unit and what additional de-risking it will offer.</t>
        </is>
      </c>
      <c r="D23" s="63" t="inlineStr">
        <is>
          <t>Written classification; plus extended factory testing, enhanced guarantees, and step-in / escrow provisions for a FOAK unit.</t>
        </is>
      </c>
      <c r="E23" s="23" t="n"/>
      <c r="F23" s="23" t="n"/>
      <c r="G23" s="23" t="n"/>
      <c r="H23" s="23" t="n"/>
    </row>
    <row r="24" ht="42" customHeight="1">
      <c r="A24" s="62" t="inlineStr">
        <is>
          <t>M-12</t>
        </is>
      </c>
      <c r="B24" s="27" t="inlineStr">
        <is>
          <t>Staged acceptance / risk sharing</t>
        </is>
      </c>
      <c r="C24" s="19" t="inlineStr">
        <is>
          <t>Separation of plant commercial operation from ammonia technology proof.</t>
        </is>
      </c>
      <c r="D24" s="63" t="inlineStr">
        <is>
          <t>Staged acceptance: COD on back-up fuel, then a separate ammonia acceptance with its own test, LDs and make-good obligation.</t>
        </is>
      </c>
      <c r="E24" s="23" t="n"/>
      <c r="F24" s="23" t="n"/>
      <c r="G24" s="23" t="n"/>
      <c r="H24" s="23" t="n"/>
    </row>
    <row r="25" ht="42" customHeight="1">
      <c r="A25" s="62" t="inlineStr">
        <is>
          <t>M-13</t>
        </is>
      </c>
      <c r="B25" s="27" t="inlineStr">
        <is>
          <t>Insurability</t>
        </is>
      </c>
      <c r="C25" s="19" t="inlineStr">
        <is>
          <t>Evidence of insurer engagement for construction all-risk and delay-in-start-up on a FOAK ammonia unit.</t>
        </is>
      </c>
      <c r="D25" s="63" t="inlineStr">
        <is>
          <t>Broker or underwriter letter confirming CAR/DSU cover is available, obtained before financial close.</t>
        </is>
      </c>
      <c r="E25" s="23" t="n"/>
      <c r="F25" s="23" t="n"/>
      <c r="G25" s="23" t="n"/>
      <c r="H25" s="23" t="n"/>
    </row>
    <row r="26" ht="42" customHeight="1">
      <c r="A26" s="62" t="inlineStr">
        <is>
          <t>M-14</t>
        </is>
      </c>
      <c r="B26" s="27" t="inlineStr">
        <is>
          <t>IP, escrow and continuity</t>
        </is>
      </c>
      <c r="C26" s="19" t="inlineStr">
        <is>
          <t>Protection against product line discontinuation.</t>
        </is>
      </c>
      <c r="D26" s="63" t="inlineStr">
        <is>
          <t>Escrow of drawings and control software; licence to a third party on discontinuation; guaranteed spares supply.</t>
        </is>
      </c>
      <c r="E26" s="23" t="n"/>
      <c r="F26" s="23" t="n"/>
      <c r="G26" s="23" t="n"/>
      <c r="H26" s="23" t="n"/>
    </row>
    <row r="27" ht="22" customHeight="1">
      <c r="A27" s="16" t="inlineStr">
        <is>
          <t>LEGAL</t>
        </is>
      </c>
      <c r="B27" s="17" t="n"/>
      <c r="C27" s="17" t="n"/>
      <c r="D27" s="17" t="n"/>
      <c r="E27" s="17" t="n"/>
      <c r="F27" s="17" t="n"/>
      <c r="G27" s="17" t="n"/>
      <c r="H27" s="17" t="n"/>
    </row>
    <row r="28" ht="42" customHeight="1">
      <c r="A28" s="62" t="inlineStr">
        <is>
          <t>M-15</t>
        </is>
      </c>
      <c r="B28" s="27" t="inlineStr">
        <is>
          <t>Force majeure / change in law</t>
        </is>
      </c>
      <c r="C28" s="19" t="inlineStr">
        <is>
          <t>Allocation of regulatory change risk for ammonia handling and emissions.</t>
        </is>
      </c>
      <c r="D28" s="63" t="inlineStr">
        <is>
          <t>Change in law relating to ammonia handling or emissions treated as a shared or owner risk with a defined adjustment mechanism.</t>
        </is>
      </c>
      <c r="E28" s="23" t="n"/>
      <c r="F28" s="23" t="n"/>
      <c r="G28" s="23" t="n"/>
      <c r="H28" s="23" t="n"/>
    </row>
    <row r="29" ht="42" customHeight="1">
      <c r="A29" s="62" t="inlineStr">
        <is>
          <t>M-16</t>
        </is>
      </c>
      <c r="B29" s="27" t="inlineStr">
        <is>
          <t>Dispute resolution</t>
        </is>
      </c>
      <c r="C29" s="19" t="inlineStr">
        <is>
          <t>Governing law, mechanism and seat.</t>
        </is>
      </c>
      <c r="D29" s="63" t="inlineStr">
        <is>
          <t>Neutral seat and institutional arbitration; governing law agreed with counsel before term sheet.</t>
        </is>
      </c>
      <c r="E29" s="23" t="n"/>
      <c r="F29" s="23" t="n"/>
      <c r="G29" s="23" t="n"/>
      <c r="H29" s="23" t="n"/>
    </row>
    <row r="30" ht="42" customHeight="1">
      <c r="A30" s="62" t="inlineStr">
        <is>
          <t>L-02</t>
        </is>
      </c>
      <c r="B30" s="27" t="inlineStr">
        <is>
          <t>EPC and execution model</t>
        </is>
      </c>
      <c r="C30" s="19" t="inlineStr">
        <is>
          <t>The OEM's preferred/approved EPC contractors and whether it will wrap the ammonia scope.</t>
        </is>
      </c>
      <c r="D30" s="63" t="inlineStr">
        <is>
          <t>Named EPC with prior ammonia or hydrogen fuel-system experience and an existing working relationship with the OEM; single-point wrap on the ammonia fuel system preferred.</t>
        </is>
      </c>
      <c r="E30" s="23" t="n"/>
      <c r="F30" s="23" t="n"/>
      <c r="G30" s="23" t="n"/>
      <c r="H30" s="23" t="n"/>
    </row>
  </sheetData>
  <mergeCells count="7">
    <mergeCell ref="A18:H18"/>
    <mergeCell ref="A2:H2"/>
    <mergeCell ref="A10:H10"/>
    <mergeCell ref="A14:H14"/>
    <mergeCell ref="A5:H5"/>
    <mergeCell ref="A27:H27"/>
    <mergeCell ref="A22:H22"/>
  </mergeCells>
  <pageMargins left="0.75" right="0.75" top="1" bottom="1" header="0.5" footer="0.5"/>
</worksheet>
</file>

<file path=xl/worksheets/sheet7.xml><?xml version="1.0" encoding="utf-8"?>
<worksheet xmlns="http://schemas.openxmlformats.org/spreadsheetml/2006/main">
  <sheetPr>
    <tabColor rgb="00595959"/>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26" customWidth="1" min="1" max="1"/>
    <col width="62" customWidth="1" min="2" max="2"/>
    <col width="14" customWidth="1" min="3" max="3"/>
    <col width="34" customWidth="1" min="4" max="4"/>
    <col width="46" customWidth="1" min="5" max="5"/>
  </cols>
  <sheetData>
    <row r="1" ht="20" customHeight="1">
      <c r="A1" s="1" t="inlineStr">
        <is>
          <t>Sheet 6 — Sourced Reference Anchors (to challenge OEM answers in the room)</t>
        </is>
      </c>
    </row>
    <row r="2" ht="26" customHeight="1">
      <c r="A2" s="2" t="inlineStr">
        <is>
          <t>Carried over from ../memory.md. Every line is tagged Sourced / Derived / Assumption / Not published per repo CLAUDE.md section 7. Use these to test an OEM claim — do NOT present them to the OEM as our requirement, and do not treat any of them as a specification.</t>
        </is>
      </c>
    </row>
    <row r="4" ht="32" customHeight="1">
      <c r="A4" s="14" t="inlineStr">
        <is>
          <t>Topic</t>
        </is>
      </c>
      <c r="B4" s="14" t="inlineStr">
        <is>
          <t>Reference anchor</t>
        </is>
      </c>
      <c r="C4" s="14" t="inlineStr">
        <is>
          <t>Status</t>
        </is>
      </c>
      <c r="D4" s="14" t="inlineStr">
        <is>
          <t>Source</t>
        </is>
      </c>
      <c r="E4" s="14" t="inlineStr">
        <is>
          <t>How to use it in the meeting</t>
        </is>
      </c>
    </row>
    <row r="5" ht="50" customHeight="1">
      <c r="A5" s="64" t="inlineStr">
        <is>
          <t>Fuel property</t>
        </is>
      </c>
      <c r="B5" s="19" t="inlineStr">
        <is>
          <t>Ammonia LHV approximately 18.6 MJ/kg; hydrogen content 17.8 wt%; liquid ammonia approximately 680 kg/m3 (derived as 121 kg H2/m3 divided by 0.178), giving roughly 12.6 GJ/m3.</t>
        </is>
      </c>
      <c r="C5" s="65" t="inlineStr">
        <is>
          <t>Sourced / Derived</t>
        </is>
      </c>
      <c r="D5" s="19" t="inlineStr">
        <is>
          <t>Textbook constants; Ammonia Energy Association; BBA Consultants (memory.md section 6)</t>
        </is>
      </c>
      <c r="E5" s="19" t="inlineStr">
        <is>
          <t>Cross-check the OEM's specific fuel consumption: kg NH3/kWh should reconcile with 18.6 MJ/kg and the quoted efficiency.</t>
        </is>
      </c>
    </row>
    <row r="6" ht="50" customHeight="1">
      <c r="A6" s="64" t="inlineStr">
        <is>
          <t>Combustion physics</t>
        </is>
      </c>
      <c r="B6" s="19" t="inlineStr">
        <is>
          <t>Ammonia laminar flame speed is approximately one fifth that of methane-air.</t>
        </is>
      </c>
      <c r="C6" s="65" t="inlineStr">
        <is>
          <t>Sourced</t>
        </is>
      </c>
      <c r="D6" s="19" t="inlineStr">
        <is>
          <t>memory.md section 6 (comprehensive comparison)</t>
        </is>
      </c>
      <c r="E6" s="19" t="inlineStr">
        <is>
          <t>The root cause of staged combustion, hydrogen enrichment and pilot ignition. Ask what the OEM did about it (question C-04).</t>
        </is>
      </c>
    </row>
    <row r="7" ht="50" customHeight="1">
      <c r="A7" s="64" t="inlineStr">
        <is>
          <t>Engine efficiency</t>
        </is>
      </c>
      <c r="B7" s="19" t="inlineStr">
        <is>
          <t>Reciprocating engine simple-cycle efficiency on ammonia approximately 46-49% LHV, claimed at parity with the dual-fuel LNG twin. Wartsila 34SG on natural gas is 48.9%.</t>
        </is>
      </c>
      <c r="C7" s="65" t="inlineStr">
        <is>
          <t>Sourced (OEM claim)</t>
        </is>
      </c>
      <c r="D7" s="19" t="inlineStr">
        <is>
          <t>Wartsila; memory.md section 6</t>
        </is>
      </c>
      <c r="E7" s="19" t="inlineStr">
        <is>
          <t>If an OEM quotes materially above this band on ammonia, ask for the measured basis and the load point.</t>
        </is>
      </c>
    </row>
    <row r="8" ht="50" customHeight="1">
      <c r="A8" s="64" t="inlineStr">
        <is>
          <t>Engine part-load</t>
        </is>
      </c>
      <c r="B8" s="19" t="inlineStr">
        <is>
          <t>Engine pulse efficiency above 46% at part load, versus below 36% for an aeroderivative gas turbine.</t>
        </is>
      </c>
      <c r="C8" s="65" t="inlineStr">
        <is>
          <t>Sourced (OEM claim)</t>
        </is>
      </c>
      <c r="D8" s="19" t="inlineStr">
        <is>
          <t>Wartsila; memory.md section 6</t>
        </is>
      </c>
      <c r="E8" s="19" t="inlineStr">
        <is>
          <t>Flat part-load efficiency is the engine's structural advantage — verify it survives ammonia firing (question F-04).</t>
        </is>
      </c>
    </row>
    <row r="9" ht="50" customHeight="1">
      <c r="A9" s="64" t="inlineStr">
        <is>
          <t>Product status</t>
        </is>
      </c>
      <c r="B9" s="19" t="inlineStr">
        <is>
          <t>No stationary ammonia genset product exists today. Wartsila 25 Ammonia (1.9-3.1 MW; 315 kW/cyl at 900 rpm, 345 kW/cyl at 1000 rpm) is marine, with deliveries from 2028. MAN/Everllence AmmoniaMot 2 four-stroke genset was R&amp;D from August 2024 with a 3.5-year programme.</t>
        </is>
      </c>
      <c r="C9" s="65" t="inlineStr">
        <is>
          <t>Sourced</t>
        </is>
      </c>
      <c r="D9" s="19" t="inlineStr">
        <is>
          <t>Wartsila; Everllence/MAN ES; memory.md section 6</t>
        </is>
      </c>
      <c r="E9" s="19" t="inlineStr">
        <is>
          <t>The baseline reality check for questions A-06 and A-07. Any claim of a mature stationary product should be tested against this.</t>
        </is>
      </c>
    </row>
    <row r="10" ht="50" customHeight="1">
      <c r="A10" s="64" t="inlineStr">
        <is>
          <t>Pilot fuel</t>
        </is>
      </c>
      <c r="B10" s="19" t="inlineStr">
        <is>
          <t>The MAN B&amp;W ME-LGIA two-stroke uses approximately 5% pilot fuel energy share and achieves above 95% ammonia energy fraction. Shipyard delivery 2026.</t>
        </is>
      </c>
      <c r="C10" s="65" t="inlineStr">
        <is>
          <t>Sourced</t>
        </is>
      </c>
      <c r="D10" s="19" t="inlineStr">
        <is>
          <t>Everllence/MAN ES; memory.md section 6</t>
        </is>
      </c>
      <c r="E10" s="19" t="inlineStr">
        <is>
          <t>A reference point for question C-03. Note it is two-stroke marine — do not assume the same pilot share on a 4-stroke.</t>
        </is>
      </c>
    </row>
    <row r="11" ht="50" customHeight="1">
      <c r="A11" s="64" t="inlineStr">
        <is>
          <t>N2O</t>
        </is>
      </c>
      <c r="B11" s="19" t="inlineStr">
        <is>
          <t>Nitrous oxide has a 100-year global warming potential of approximately 273 times CO2.</t>
        </is>
      </c>
      <c r="C11" s="65" t="inlineStr">
        <is>
          <t>Sourced</t>
        </is>
      </c>
      <c r="D11" s="19" t="inlineStr">
        <is>
          <t>IPCC AR6 basis, cited in memory.md section 6</t>
        </is>
      </c>
      <c r="E11" s="19" t="inlineStr">
        <is>
          <t>The reason N2O is a knock-out gate (K4) rather than a scoring line.</t>
        </is>
      </c>
    </row>
    <row r="12" ht="50" customHeight="1">
      <c r="A12" s="64" t="inlineStr">
        <is>
          <t>N2O — engine</t>
        </is>
      </c>
      <c r="B12" s="19" t="inlineStr">
        <is>
          <t>Approximately 20 ppm untreated across loads on ammonia test engines, falling to 2-10 ppm with a catalyst.</t>
        </is>
      </c>
      <c r="C12" s="65" t="inlineStr">
        <is>
          <t>Sourced</t>
        </is>
      </c>
      <c r="D12" s="19" t="inlineStr">
        <is>
          <t>IHI test engine data via memory.md section 6</t>
        </is>
      </c>
      <c r="E12" s="19" t="inlineStr">
        <is>
          <t>Benchmark for question G-01 and G-03. If the OEM cannot quote an untreated N2O number, that is itself the answer.</t>
        </is>
      </c>
    </row>
    <row r="13" ht="50" customHeight="1">
      <c r="A13" s="64" t="inlineStr">
        <is>
          <t>Ammonia slip</t>
        </is>
      </c>
      <c r="B13" s="19" t="inlineStr">
        <is>
          <t>Assumed 10-30 ppm for a new 4-stroke dual-fuel engine, with a target below 10 ppm.</t>
        </is>
      </c>
      <c r="C13" s="66" t="inlineStr">
        <is>
          <t>Assumption (measurement basis IHI/Wartsila)</t>
        </is>
      </c>
      <c r="D13" s="19" t="inlineStr">
        <is>
          <t>memory.md section 6</t>
        </is>
      </c>
      <c r="E13" s="19" t="inlineStr">
        <is>
          <t>Labelled an assumption — use it to frame question G-01, not as a specification.</t>
        </is>
      </c>
    </row>
    <row r="14" ht="50" customHeight="1">
      <c r="A14" s="64" t="inlineStr">
        <is>
          <t>After-treatment</t>
        </is>
      </c>
      <c r="B14" s="19" t="inlineStr">
        <is>
          <t>An ammonia engine needs three catalyst beds (SCR, ammonia oxidation / slip catalyst, and a dedicated N2O catalyst), where a gas turbine can use combustor staging plus DeNOx.</t>
        </is>
      </c>
      <c r="C14" s="65" t="inlineStr">
        <is>
          <t>Sourced</t>
        </is>
      </c>
      <c r="D14" s="19" t="inlineStr">
        <is>
          <t>memory.md section 6</t>
        </is>
      </c>
      <c r="E14" s="19" t="inlineStr">
        <is>
          <t>Directly frames questions G-02, G-03 and G-05 and the catalyst OPEX exposure.</t>
        </is>
      </c>
    </row>
    <row r="15" ht="50" customHeight="1">
      <c r="A15" s="64" t="inlineStr">
        <is>
          <t>GHG performance</t>
        </is>
      </c>
      <c r="B15" s="19" t="inlineStr">
        <is>
          <t>In service on the NYK Sakigake at approximately 95% ammonia with catalyst: 94% GHG reduction, N2O at or below 1% of CO2e. Wartsila 25 Ammonia claims up to 90% GHG reduction at approximately 95% ammonia energy share.</t>
        </is>
      </c>
      <c r="C15" s="65" t="inlineStr">
        <is>
          <t>Sourced</t>
        </is>
      </c>
      <c r="D15" s="19" t="inlineStr">
        <is>
          <t>NYK; Wartsila; memory.md section 6</t>
        </is>
      </c>
      <c r="E15" s="19" t="inlineStr">
        <is>
          <t>Benchmark the OEM's answer to question G-04 against these published figures.</t>
        </is>
      </c>
    </row>
    <row r="16" ht="50" customHeight="1">
      <c r="A16" s="64" t="inlineStr">
        <is>
          <t>Safety basis</t>
        </is>
      </c>
      <c r="B16" s="19" t="inlineStr">
        <is>
          <t>Ammonia is regulated on a toxicity basis, not only flammability: ppm-level gas detection, release mitigation systems, cofferdam or separation from occupied spaces, and closing devices on air intakes.</t>
        </is>
      </c>
      <c r="C16" s="65" t="inlineStr">
        <is>
          <t>Sourced</t>
        </is>
      </c>
      <c r="D16" s="19" t="inlineStr">
        <is>
          <t>memory.md section 6</t>
        </is>
      </c>
      <c r="E16" s="19" t="inlineStr">
        <is>
          <t>Frames the whole of section H. An OEM treating ammonia like natural gas has not done the safety work.</t>
        </is>
      </c>
    </row>
    <row r="17" ht="50" customHeight="1">
      <c r="A17" s="64" t="inlineStr">
        <is>
          <t>Water use</t>
        </is>
      </c>
      <c r="B17" s="19" t="inlineStr">
        <is>
          <t>Reciprocating engine simple cycle uses below 5 L/h of water, versus a recirculating CCGT at roughly 780 L/MWh.</t>
        </is>
      </c>
      <c r="C17" s="65" t="inlineStr">
        <is>
          <t>Sourced</t>
        </is>
      </c>
      <c r="D17" s="19" t="inlineStr">
        <is>
          <t>Wartsila; memory.md section 6</t>
        </is>
      </c>
      <c r="E17" s="19" t="inlineStr">
        <is>
          <t>A genuine engine advantage in a water-constrained Singapore/Johor context — confirm the ammonia package preserves it (question B-09).</t>
        </is>
      </c>
    </row>
    <row r="18" ht="50" customHeight="1">
      <c r="A18" s="64" t="inlineStr">
        <is>
          <t>Start capability</t>
        </is>
      </c>
      <c r="B18" s="19" t="inlineStr">
        <is>
          <t>Reciprocating engines start to full load in approximately 2 minutes and are black-start capable (natural gas basis).</t>
        </is>
      </c>
      <c r="C18" s="65" t="inlineStr">
        <is>
          <t>Sourced (natural gas basis)</t>
        </is>
      </c>
      <c r="D18" s="19" t="inlineStr">
        <is>
          <t>Wartsila; memory.md section 6</t>
        </is>
      </c>
      <c r="E18" s="19" t="inlineStr">
        <is>
          <t>Test whether ammonia's purge and leak-test sequence erodes this (questions F-08 and E-11).</t>
        </is>
      </c>
    </row>
    <row r="19" ht="50" customHeight="1">
      <c r="A19" s="64" t="inlineStr">
        <is>
          <t>Ambient derate</t>
        </is>
      </c>
      <c r="B19" s="19" t="inlineStr">
        <is>
          <t>Gas turbines lose roughly 0.4% power and gain 0.1% heat rate per degF above 59 degF (5-10% power per 10 degC). Turbocharged reciprocating engines are far less sensitive. Johor and Singapore ambient is approximately 30-33 degC.</t>
        </is>
      </c>
      <c r="C19" s="65" t="inlineStr">
        <is>
          <t>Sourced</t>
        </is>
      </c>
      <c r="D19" s="19" t="inlineStr">
        <is>
          <t>memory.md section 6</t>
        </is>
      </c>
      <c r="E19" s="19" t="inlineStr">
        <is>
          <t>A structural engine advantage at this site — quantify it for the specific engine via question F-05.</t>
        </is>
      </c>
    </row>
    <row r="20" ht="50" customHeight="1">
      <c r="A20" s="64" t="inlineStr">
        <is>
          <t>Capital cost</t>
        </is>
      </c>
      <c r="B20" s="19" t="inlineStr">
        <is>
          <t>Natural gas reciprocating engine plant approximately $1,250-1,500/kW. THE AMMONIA PREMIUM IS NOT PUBLISHED ANYWHERE for either engines or turbines — it must come from the OEM.</t>
        </is>
      </c>
      <c r="C20" s="65" t="inlineStr">
        <is>
          <t>Sourced (NG anchor) / Not published (NH3 premium)</t>
        </is>
      </c>
      <c r="D20" s="19" t="inlineStr">
        <is>
          <t>EIA AEO2025; memory.md section 6</t>
        </is>
      </c>
      <c r="E20" s="19" t="inlineStr">
        <is>
          <t>Use the NG anchor to frame question N-03. Do not quote an ammonia premium to the OEM — we do not have one.</t>
        </is>
      </c>
    </row>
    <row r="21" ht="50" customHeight="1">
      <c r="A21" s="64" t="inlineStr">
        <is>
          <t>Competing technology</t>
        </is>
      </c>
      <c r="B21" s="19" t="inlineStr">
        <is>
          <t>The only ammonia power project in Singapore is a gas turbine plant: the EMA/MPA and Keppel-led consortium at Jurong Island, 55-65 MWe by direct ammonia combustion, in FEED with no FID. IHI's IM270 2 MW turbine had accumulated approximately 3,000 hours on 100% liquid ammonia as of January 2026 with NOx below 7 ppm after DeNOx.</t>
        </is>
      </c>
      <c r="C21" s="65" t="inlineStr">
        <is>
          <t>Sourced</t>
        </is>
      </c>
      <c r="D21" s="19" t="inlineStr">
        <is>
          <t>EMA/MPA Singapore; IHI; memory.md section 6</t>
        </is>
      </c>
      <c r="E21" s="19" t="inlineStr">
        <is>
          <t>Useful context: the engine OEM is competing against a turbine pathway that currently has more demonstrated stationary ammonia hours. A fair question to put to them directly.</t>
        </is>
      </c>
    </row>
    <row r="22" ht="50" customHeight="1">
      <c r="A22" s="64" t="inlineStr">
        <is>
          <t>Cracked ammonia</t>
        </is>
      </c>
      <c r="B22" s="19" t="inlineStr">
        <is>
          <t>Cracked-ammonia combined cycle efficiency rises 47.7% (direct liquid NH3) to 49.1% (vaporised) to 54% (fully cracked H2-N2), conditional on heat integration; a standalone non-integrated cracker lowers net efficiency.</t>
        </is>
      </c>
      <c r="C22" s="65" t="inlineStr">
        <is>
          <t>Sourced</t>
        </is>
      </c>
      <c r="D22" s="19" t="inlineStr">
        <is>
          <t>memory.md section 6</t>
        </is>
      </c>
      <c r="E22" s="19" t="inlineStr">
        <is>
          <t>Relevant if the OEM proposes an on-board partial cracker (question C-05) — ask where the cracking heat comes from.</t>
        </is>
      </c>
    </row>
    <row r="24" ht="40" customHeight="1">
      <c r="A24" s="12" t="inlineStr">
        <is>
          <t>Status tags</t>
        </is>
      </c>
      <c r="B24" s="41" t="inlineStr">
        <is>
          <t>Sourced = traceable to a named public source. Derived = calculated from sourced inputs, calculation shown in memory.md. Assumption = adopted for analysis and recorded in memory.md section 3, not confirmed. Not published = no public figure exists; must be obtained from the OEM.</t>
        </is>
      </c>
    </row>
    <row r="25">
      <c r="A25" s="12" t="inlineStr">
        <is>
          <t>Full sources</t>
        </is>
      </c>
      <c r="B25" s="67" t="inlineStr">
        <is>
          <t>See ../memory.md section 6 (Sourced Data Registry) and power_generation/NH3_gas_turbine_vs_gas_engine_comprehensive_comparison.md.</t>
        </is>
      </c>
    </row>
  </sheetData>
  <mergeCells count="3">
    <mergeCell ref="A2:E2"/>
    <mergeCell ref="B25:E25"/>
    <mergeCell ref="B24:E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2026-08-19T01:36:57Z</dcterms:created>
  <dcterms:modified xsi:type="dcterms:W3CDTF">2026-08-19T01:36:57Z</dcterms:modified>
</cp:coreProperties>
</file>