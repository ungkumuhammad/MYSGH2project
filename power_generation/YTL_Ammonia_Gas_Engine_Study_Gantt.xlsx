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st" sheetId="1" state="visible" r:id="rId3"/>
    <sheet name="Gantt Chart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<sst xmlns="http://schemas.openxmlformats.org/spreadsheetml/2006/main" count="166" uniqueCount="90">
  <si>
    <t xml:space="preserve">YTL x MYSGH2 - Ammonia 4-Stroke Gas Engine Study - Task List (master data)</t>
  </si>
  <si>
    <t xml:space="preserve">Edit tasks here - the 'Gantt Chart' tab reads every field from this sheet via formulas, so changes to dates, workstream, type or owner update the Gantt bars and colors automatically.</t>
  </si>
  <si>
    <t xml:space="preserve">ID</t>
  </si>
  <si>
    <t xml:space="preserve">Task</t>
  </si>
  <si>
    <t xml:space="preserve">Workstream</t>
  </si>
  <si>
    <t xml:space="preserve">Type</t>
  </si>
  <si>
    <t xml:space="preserve">Owner</t>
  </si>
  <si>
    <t xml:space="preserve">Start</t>
  </si>
  <si>
    <t xml:space="preserve">Finish</t>
  </si>
  <si>
    <t xml:space="preserve">Duration
(working days)</t>
  </si>
  <si>
    <t xml:space="preserve">Predecessor(s)</t>
  </si>
  <si>
    <t xml:space="preserve">P1</t>
  </si>
  <si>
    <t xml:space="preserve">Finalize OEM shortlist &amp; confirm with MISC</t>
  </si>
  <si>
    <t xml:space="preserve">Governance</t>
  </si>
  <si>
    <t xml:space="preserve">MYSGH2/MISC</t>
  </si>
  <si>
    <t xml:space="preserve">-</t>
  </si>
  <si>
    <t xml:space="preserve">P2</t>
  </si>
  <si>
    <t xml:space="preserve">Draft kickoff agenda &amp; study charter</t>
  </si>
  <si>
    <t xml:space="preserve">MYSGH2</t>
  </si>
  <si>
    <t xml:space="preserve">P3</t>
  </si>
  <si>
    <t xml:space="preserve">Align data/evidence requirements to hand to MISC</t>
  </si>
  <si>
    <t xml:space="preserve">OEM Engagement (MISC-led)</t>
  </si>
  <si>
    <t xml:space="preserve">P4</t>
  </si>
  <si>
    <t xml:space="preserve">Confirm NDA status per OEM (via MISC)</t>
  </si>
  <si>
    <t xml:space="preserve">MISC</t>
  </si>
  <si>
    <t xml:space="preserve">P5</t>
  </si>
  <si>
    <t xml:space="preserve">Internal YTL / MYSGH2 / MISC alignment call</t>
  </si>
  <si>
    <t xml:space="preserve">Milestone</t>
  </si>
  <si>
    <t xml:space="preserve">Both</t>
  </si>
  <si>
    <t xml:space="preserve">P2, P3, P4</t>
  </si>
  <si>
    <t xml:space="preserve">M1</t>
  </si>
  <si>
    <t xml:space="preserve">KICKOFF MEETING</t>
  </si>
  <si>
    <t xml:space="preserve">W1.1</t>
  </si>
  <si>
    <t xml:space="preserve">Agree Technology Risk Assessment framework skeleton</t>
  </si>
  <si>
    <t xml:space="preserve">Technology Risk Assessment</t>
  </si>
  <si>
    <t xml:space="preserve">W1.2</t>
  </si>
  <si>
    <t xml:space="preserve">Finalize workstream owners &amp; roles</t>
  </si>
  <si>
    <t xml:space="preserve">OEM1</t>
  </si>
  <si>
    <t xml:space="preserve">OEM ENGAGEMENT &amp; DATA COLLECTION (led by MISC)</t>
  </si>
  <si>
    <t xml:space="preserve">M1, P4</t>
  </si>
  <si>
    <t xml:space="preserve">W2.1</t>
  </si>
  <si>
    <t xml:space="preserve">Build Technology Risk Assessment framework v1 (maturity TRL/CRI scale + carbon-emission methodology)</t>
  </si>
  <si>
    <t xml:space="preserve">W2.2</t>
  </si>
  <si>
    <t xml:space="preserve">Weekly status check-in (Wk2)</t>
  </si>
  <si>
    <t xml:space="preserve">W3.1</t>
  </si>
  <si>
    <t xml:space="preserve">Populate Technology Risk Assessment scorecard (maturity + carbon, per OEM)</t>
  </si>
  <si>
    <t xml:space="preserve">W2.1, OEM1</t>
  </si>
  <si>
    <t xml:space="preserve">W3.2</t>
  </si>
  <si>
    <t xml:space="preserve">Draft performance-contract framework</t>
  </si>
  <si>
    <t xml:space="preserve">Contract</t>
  </si>
  <si>
    <t xml:space="preserve">MYSGH2/YTL</t>
  </si>
  <si>
    <t xml:space="preserve">W3.3</t>
  </si>
  <si>
    <t xml:space="preserve">Weekly status check-in (Wk3)</t>
  </si>
  <si>
    <t xml:space="preserve">W4.1</t>
  </si>
  <si>
    <t xml:space="preserve">Build risk &amp; derisking framework (fuel-supply, safety/toxicity, regulatory, counterparty)</t>
  </si>
  <si>
    <t xml:space="preserve">Risk</t>
  </si>
  <si>
    <t xml:space="preserve">W3.1, W3.2</t>
  </si>
  <si>
    <t xml:space="preserve">W4.2</t>
  </si>
  <si>
    <t xml:space="preserve">Consolidate all findings</t>
  </si>
  <si>
    <t xml:space="preserve">Reporting</t>
  </si>
  <si>
    <t xml:space="preserve">W4.1, OEM1</t>
  </si>
  <si>
    <t xml:space="preserve">W4.3</t>
  </si>
  <si>
    <t xml:space="preserve">Draft consolidated report</t>
  </si>
  <si>
    <t xml:space="preserve">W4.4</t>
  </si>
  <si>
    <t xml:space="preserve">Internal YTL review of draft report</t>
  </si>
  <si>
    <t xml:space="preserve">YTL</t>
  </si>
  <si>
    <t xml:space="preserve">F1</t>
  </si>
  <si>
    <t xml:space="preserve">Incorporate YTL review comments</t>
  </si>
  <si>
    <t xml:space="preserve">F2</t>
  </si>
  <si>
    <t xml:space="preserve">FINAL REPORT &amp; CLOSE-OUT SESSION</t>
  </si>
  <si>
    <t xml:space="preserve">YTL x MYSGH2 - Ammonia 4-Stroke Gas Engine Study - Gantt Chart</t>
  </si>
  <si>
    <t xml:space="preserve">Kickoff: Tue 25 Aug 2026   |   Finish: Tue 22 Sep 2026   |   Linked live to the 'Task List' tab - edit tasks there, this chart (incl. bar colors) updates automatically</t>
  </si>
  <si>
    <t xml:space="preserve">Legend</t>
  </si>
  <si>
    <t xml:space="preserve">Workstream / Type</t>
  </si>
  <si>
    <t xml:space="preserve">Description</t>
  </si>
  <si>
    <t xml:space="preserve">Gold diamond marker - a decision point, checkpoint, or deliverable hand-off (single day, zero-duration in effect)</t>
  </si>
  <si>
    <t xml:space="preserve">Kickoff, status check-ins, internal YTL/MYSGH2/MISC alignment and sign-off</t>
  </si>
  <si>
    <t xml:space="preserve">MISC (parent-company partner with existing OEM contacts) owns all direct OEM engagement - one continuous item covering introductions, data collection, follow-ups and Q&amp;A, rather than separate MYSGH2-run RFI/discussion rounds</t>
  </si>
  <si>
    <t xml:space="preserve">Merged maturity (TRL/CRI-style scale) + carbon-emission methodology (incl. N2O/GWP273, NOx, NH3 slip) assessment and per-OEM scorecard</t>
  </si>
  <si>
    <t xml:space="preserve">Performance-contract framework: availability, heat-rate/efficiency, emissions guarantees, LDs, warranty</t>
  </si>
  <si>
    <t xml:space="preserve">Risk &amp; derisking framework: fuel-supply, safety/toxicity, regulatory, counterparty risk (technology risk lives in Technology Risk Assessment above)</t>
  </si>
  <si>
    <t xml:space="preserve">Findings consolidation, draft and final report production</t>
  </si>
  <si>
    <t xml:space="preserve">Notes</t>
  </si>
  <si>
    <t xml:space="preserve">- The 'Gantt Chart' tab is fully formula-linked to 'Task List': every column (Task, Workstream, Type, Owner, Start, Finish, Duration) is a direct cell reference, and the bar colors are Conditional Formatting rules keyed off those same linked cells - so editing a row in Task List (incl. dragging dates) updates the chart and its colors automatically. Do not type directly into the Gantt Chart tab's task columns; edit Task List instead.</t>
  </si>
  <si>
    <t xml:space="preserve">- Working days only (Mon-Fri); weekends are compressed out of the day-column grid.</t>
  </si>
  <si>
    <t xml:space="preserve">- Duration column uses =NETWORKDAYS(Start,Finish).</t>
  </si>
  <si>
    <t xml:space="preserve">- OEM engagement is run by MISC (our partner company under the parent group, which holds the OEM relationships) as ONE continuous item/timeline - not broken into MYSGH2-run RFI or discussion-round sub-tasks.</t>
  </si>
  <si>
    <t xml:space="preserve">- Maturity and carbon-emission assessment are merged into a single 'Technology Risk Assessment' workstream.</t>
  </si>
  <si>
    <t xml:space="preserve">- This is a proposed schedule (per CLAUDE.md No-Fabrication Rule: a plan, not a sourced technical claim). The OEM Engagement item's dates are MYSGH2's planning assumption for when MISC's outreach needs to complete to feed the Technology Risk Assessment - confirm actual cadence with MISC.</t>
  </si>
  <si>
    <t xml:space="preserve">- Source: MYSGH2 project, drafted 2026-08-14, revised 2026-08-14 (OEM engagement routed through MISC; maturity+carbon merged into Technology Risk Assessment; Task List linked live to Gantt Chart).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</si>
</sst>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-m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66"/>
        <bgColor rgb="FFF4B183"/>
      </patternFill>
    </fill>
    <fill>
      <patternFill patternType="solid">
        <fgColor rgb="FFBFBFBF"/>
        <bgColor rgb="FFB4A7D6"/>
      </patternFill>
    </fill>
    <fill>
      <patternFill patternType="solid">
        <fgColor rgb="FFF4B183"/>
        <bgColor rgb="FFF1948A"/>
      </patternFill>
    </fill>
    <fill>
      <patternFill patternType="solid">
        <fgColor rgb="FFA9D18E"/>
        <bgColor rgb="FFBFBFBF"/>
      </patternFill>
    </fill>
    <fill>
      <patternFill patternType="solid">
        <fgColor rgb="FFB4A7D6"/>
        <bgColor rgb="FFBFBFBF"/>
      </patternFill>
    </fill>
    <fill>
      <patternFill patternType="solid">
        <fgColor rgb="FFF1948A"/>
        <bgColor rgb="FFF4B183"/>
      </patternFill>
    </fill>
    <fill>
      <patternFill patternType="solid">
        <fgColor rgb="FF8EA9DB"/>
        <bgColor rgb="FFB4A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D966"/>
        </patternFill>
      </fill>
    </dxf>
    <dxf>
      <fill>
        <patternFill>
          <bgColor rgb="FFBFBFBF"/>
        </patternFill>
      </fill>
    </dxf>
    <dxf>
      <fill>
        <patternFill>
          <bgColor rgb="FFF4B183"/>
        </patternFill>
      </fill>
    </dxf>
    <dxf>
      <fill>
        <patternFill>
          <bgColor rgb="FFA9D18E"/>
        </patternFill>
      </fill>
    </dxf>
    <dxf>
      <fill>
        <patternFill>
          <bgColor rgb="FFB4A7D6"/>
        </patternFill>
      </fill>
    </dxf>
    <dxf>
      <fill>
        <patternFill>
          <bgColor rgb="FFF1948A"/>
        </patternFill>
      </fill>
    </dxf>
    <dxf>
      <fill>
        <patternFill>
          <bgColor rgb="FF8EA9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CCFFFF"/>
      <rgbColor rgb="FF660066"/>
      <rgbColor rgb="FFF194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4B183"/>
      <rgbColor rgb="FFB4A7D6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3</v>
      </c>
      <c r="E5" s="5" t="s">
        <v>14</v>
      </c>
      <c r="F5" s="6" t="n">
        <v>46251</v>
      </c>
      <c r="G5" s="6" t="n">
        <v>46252</v>
      </c>
      <c r="H5" s="4" t="n">
        <f aca="false">NETWORKDAYS(F5,G5)</f>
        <v>2</v>
      </c>
      <c r="I5" s="5" t="s">
        <v>15</v>
      </c>
    </row>
    <row r="6" customFormat="false" ht="15" hidden="false" customHeight="false" outlineLevel="0" collapsed="false">
      <c r="A6" s="4" t="s">
        <v>16</v>
      </c>
      <c r="B6" s="5" t="s">
        <v>17</v>
      </c>
      <c r="C6" s="5" t="s">
        <v>13</v>
      </c>
      <c r="D6" s="5" t="s">
        <v>3</v>
      </c>
      <c r="E6" s="5" t="s">
        <v>18</v>
      </c>
      <c r="F6" s="6" t="n">
        <v>46251</v>
      </c>
      <c r="G6" s="6" t="n">
        <v>46253</v>
      </c>
      <c r="H6" s="4" t="n">
        <f aca="false">NETWORKDAYS(F6,G6)</f>
        <v>3</v>
      </c>
      <c r="I6" s="5" t="s">
        <v>15</v>
      </c>
    </row>
    <row r="7" customFormat="false" ht="15" hidden="false" customHeight="false" outlineLevel="0" collapsed="false">
      <c r="A7" s="4" t="s">
        <v>19</v>
      </c>
      <c r="B7" s="5" t="s">
        <v>20</v>
      </c>
      <c r="C7" s="5" t="s">
        <v>21</v>
      </c>
      <c r="D7" s="5" t="s">
        <v>3</v>
      </c>
      <c r="E7" s="5" t="s">
        <v>18</v>
      </c>
      <c r="F7" s="6" t="n">
        <v>46252</v>
      </c>
      <c r="G7" s="6" t="n">
        <v>46254</v>
      </c>
      <c r="H7" s="4" t="n">
        <f aca="false">NETWORKDAYS(F7,G7)</f>
        <v>3</v>
      </c>
      <c r="I7" s="5" t="s">
        <v>11</v>
      </c>
    </row>
    <row r="8" customFormat="false" ht="15" hidden="false" customHeight="false" outlineLevel="0" collapsed="false">
      <c r="A8" s="4" t="s">
        <v>22</v>
      </c>
      <c r="B8" s="5" t="s">
        <v>23</v>
      </c>
      <c r="C8" s="5" t="s">
        <v>21</v>
      </c>
      <c r="D8" s="5" t="s">
        <v>3</v>
      </c>
      <c r="E8" s="5" t="s">
        <v>24</v>
      </c>
      <c r="F8" s="6" t="n">
        <v>46253</v>
      </c>
      <c r="G8" s="6" t="n">
        <v>46255</v>
      </c>
      <c r="H8" s="4" t="n">
        <f aca="false">NETWORKDAYS(F8,G8)</f>
        <v>3</v>
      </c>
      <c r="I8" s="5" t="s">
        <v>11</v>
      </c>
    </row>
    <row r="9" customFormat="false" ht="15" hidden="false" customHeight="false" outlineLevel="0" collapsed="false">
      <c r="A9" s="7" t="s">
        <v>25</v>
      </c>
      <c r="B9" s="8" t="s">
        <v>26</v>
      </c>
      <c r="C9" s="8" t="s">
        <v>13</v>
      </c>
      <c r="D9" s="8" t="s">
        <v>27</v>
      </c>
      <c r="E9" s="8" t="s">
        <v>28</v>
      </c>
      <c r="F9" s="9" t="n">
        <v>46255</v>
      </c>
      <c r="G9" s="9" t="n">
        <v>46255</v>
      </c>
      <c r="H9" s="7" t="n">
        <f aca="false">NETWORKDAYS(F9,G9)</f>
        <v>1</v>
      </c>
      <c r="I9" s="5" t="s">
        <v>29</v>
      </c>
    </row>
    <row r="10" customFormat="false" ht="15" hidden="false" customHeight="false" outlineLevel="0" collapsed="false">
      <c r="A10" s="7" t="s">
        <v>30</v>
      </c>
      <c r="B10" s="8" t="s">
        <v>31</v>
      </c>
      <c r="C10" s="8" t="s">
        <v>13</v>
      </c>
      <c r="D10" s="8" t="s">
        <v>27</v>
      </c>
      <c r="E10" s="8" t="s">
        <v>28</v>
      </c>
      <c r="F10" s="9" t="n">
        <v>46259</v>
      </c>
      <c r="G10" s="9" t="n">
        <v>46259</v>
      </c>
      <c r="H10" s="7" t="n">
        <f aca="false">NETWORKDAYS(F10,G10)</f>
        <v>1</v>
      </c>
      <c r="I10" s="5" t="s">
        <v>25</v>
      </c>
    </row>
    <row r="11" customFormat="false" ht="15" hidden="false" customHeight="false" outlineLevel="0" collapsed="false">
      <c r="A11" s="4" t="s">
        <v>32</v>
      </c>
      <c r="B11" s="5" t="s">
        <v>33</v>
      </c>
      <c r="C11" s="5" t="s">
        <v>34</v>
      </c>
      <c r="D11" s="5" t="s">
        <v>3</v>
      </c>
      <c r="E11" s="5" t="s">
        <v>18</v>
      </c>
      <c r="F11" s="6" t="n">
        <v>46260</v>
      </c>
      <c r="G11" s="6" t="n">
        <v>46261</v>
      </c>
      <c r="H11" s="4" t="n">
        <f aca="false">NETWORKDAYS(F11,G11)</f>
        <v>2</v>
      </c>
      <c r="I11" s="5" t="s">
        <v>30</v>
      </c>
    </row>
    <row r="12" customFormat="false" ht="15" hidden="false" customHeight="false" outlineLevel="0" collapsed="false">
      <c r="A12" s="4" t="s">
        <v>35</v>
      </c>
      <c r="B12" s="5" t="s">
        <v>36</v>
      </c>
      <c r="C12" s="5" t="s">
        <v>13</v>
      </c>
      <c r="D12" s="5" t="s">
        <v>3</v>
      </c>
      <c r="E12" s="5" t="s">
        <v>28</v>
      </c>
      <c r="F12" s="6" t="n">
        <v>46265</v>
      </c>
      <c r="G12" s="6" t="n">
        <v>46265</v>
      </c>
      <c r="H12" s="4" t="n">
        <f aca="false">NETWORKDAYS(F12,G12)</f>
        <v>1</v>
      </c>
      <c r="I12" s="5" t="s">
        <v>30</v>
      </c>
    </row>
    <row r="13" customFormat="false" ht="15" hidden="false" customHeight="false" outlineLevel="0" collapsed="false">
      <c r="A13" s="4" t="s">
        <v>37</v>
      </c>
      <c r="B13" s="5" t="s">
        <v>38</v>
      </c>
      <c r="C13" s="5" t="s">
        <v>21</v>
      </c>
      <c r="D13" s="5" t="s">
        <v>3</v>
      </c>
      <c r="E13" s="5" t="s">
        <v>24</v>
      </c>
      <c r="F13" s="6" t="n">
        <v>46265</v>
      </c>
      <c r="G13" s="6" t="n">
        <v>46281</v>
      </c>
      <c r="H13" s="4" t="n">
        <f aca="false">NETWORKDAYS(F13,G13)</f>
        <v>13</v>
      </c>
      <c r="I13" s="5" t="s">
        <v>39</v>
      </c>
    </row>
    <row r="14" customFormat="false" ht="15" hidden="false" customHeight="false" outlineLevel="0" collapsed="false">
      <c r="A14" s="4" t="s">
        <v>40</v>
      </c>
      <c r="B14" s="5" t="s">
        <v>41</v>
      </c>
      <c r="C14" s="5" t="s">
        <v>34</v>
      </c>
      <c r="D14" s="5" t="s">
        <v>3</v>
      </c>
      <c r="E14" s="5" t="s">
        <v>18</v>
      </c>
      <c r="F14" s="6" t="n">
        <v>46266</v>
      </c>
      <c r="G14" s="6" t="n">
        <v>46272</v>
      </c>
      <c r="H14" s="4" t="n">
        <f aca="false">NETWORKDAYS(F14,G14)</f>
        <v>5</v>
      </c>
      <c r="I14" s="5" t="s">
        <v>32</v>
      </c>
    </row>
    <row r="15" customFormat="false" ht="15" hidden="false" customHeight="false" outlineLevel="0" collapsed="false">
      <c r="A15" s="7" t="s">
        <v>42</v>
      </c>
      <c r="B15" s="8" t="s">
        <v>43</v>
      </c>
      <c r="C15" s="8" t="s">
        <v>13</v>
      </c>
      <c r="D15" s="8" t="s">
        <v>27</v>
      </c>
      <c r="E15" s="8" t="s">
        <v>28</v>
      </c>
      <c r="F15" s="9" t="n">
        <v>46269</v>
      </c>
      <c r="G15" s="9" t="n">
        <v>46269</v>
      </c>
      <c r="H15" s="7" t="n">
        <f aca="false">NETWORKDAYS(F15,G15)</f>
        <v>1</v>
      </c>
      <c r="I15" s="5" t="s">
        <v>37</v>
      </c>
    </row>
    <row r="16" customFormat="false" ht="15" hidden="false" customHeight="false" outlineLevel="0" collapsed="false">
      <c r="A16" s="4" t="s">
        <v>44</v>
      </c>
      <c r="B16" s="5" t="s">
        <v>45</v>
      </c>
      <c r="C16" s="5" t="s">
        <v>34</v>
      </c>
      <c r="D16" s="5" t="s">
        <v>3</v>
      </c>
      <c r="E16" s="5" t="s">
        <v>18</v>
      </c>
      <c r="F16" s="6" t="n">
        <v>46273</v>
      </c>
      <c r="G16" s="6" t="n">
        <v>46276</v>
      </c>
      <c r="H16" s="4" t="n">
        <f aca="false">NETWORKDAYS(F16,G16)</f>
        <v>4</v>
      </c>
      <c r="I16" s="5" t="s">
        <v>46</v>
      </c>
    </row>
    <row r="17" customFormat="false" ht="15" hidden="false" customHeight="false" outlineLevel="0" collapsed="false">
      <c r="A17" s="4" t="s">
        <v>47</v>
      </c>
      <c r="B17" s="5" t="s">
        <v>48</v>
      </c>
      <c r="C17" s="5" t="s">
        <v>49</v>
      </c>
      <c r="D17" s="5" t="s">
        <v>3</v>
      </c>
      <c r="E17" s="5" t="s">
        <v>50</v>
      </c>
      <c r="F17" s="6" t="n">
        <v>46275</v>
      </c>
      <c r="G17" s="6" t="n">
        <v>46279</v>
      </c>
      <c r="H17" s="4" t="n">
        <f aca="false">NETWORKDAYS(F17,G17)</f>
        <v>3</v>
      </c>
      <c r="I17" s="5" t="s">
        <v>37</v>
      </c>
    </row>
    <row r="18" customFormat="false" ht="15" hidden="false" customHeight="false" outlineLevel="0" collapsed="false">
      <c r="A18" s="7" t="s">
        <v>51</v>
      </c>
      <c r="B18" s="8" t="s">
        <v>52</v>
      </c>
      <c r="C18" s="8" t="s">
        <v>13</v>
      </c>
      <c r="D18" s="8" t="s">
        <v>27</v>
      </c>
      <c r="E18" s="8" t="s">
        <v>28</v>
      </c>
      <c r="F18" s="9" t="n">
        <v>46276</v>
      </c>
      <c r="G18" s="9" t="n">
        <v>46276</v>
      </c>
      <c r="H18" s="7" t="n">
        <f aca="false">NETWORKDAYS(F18,G18)</f>
        <v>1</v>
      </c>
      <c r="I18" s="5" t="s">
        <v>44</v>
      </c>
    </row>
    <row r="19" customFormat="false" ht="15" hidden="false" customHeight="false" outlineLevel="0" collapsed="false">
      <c r="A19" s="4" t="s">
        <v>53</v>
      </c>
      <c r="B19" s="5" t="s">
        <v>54</v>
      </c>
      <c r="C19" s="5" t="s">
        <v>55</v>
      </c>
      <c r="D19" s="5" t="s">
        <v>3</v>
      </c>
      <c r="E19" s="5" t="s">
        <v>18</v>
      </c>
      <c r="F19" s="6" t="n">
        <v>46280</v>
      </c>
      <c r="G19" s="6" t="n">
        <v>46282</v>
      </c>
      <c r="H19" s="4" t="n">
        <f aca="false">NETWORKDAYS(F19,G19)</f>
        <v>3</v>
      </c>
      <c r="I19" s="5" t="s">
        <v>56</v>
      </c>
    </row>
    <row r="20" customFormat="false" ht="15" hidden="false" customHeight="false" outlineLevel="0" collapsed="false">
      <c r="A20" s="4" t="s">
        <v>57</v>
      </c>
      <c r="B20" s="5" t="s">
        <v>58</v>
      </c>
      <c r="C20" s="5" t="s">
        <v>59</v>
      </c>
      <c r="D20" s="5" t="s">
        <v>3</v>
      </c>
      <c r="E20" s="5" t="s">
        <v>18</v>
      </c>
      <c r="F20" s="6" t="n">
        <v>46282</v>
      </c>
      <c r="G20" s="6" t="n">
        <v>46283</v>
      </c>
      <c r="H20" s="4" t="n">
        <f aca="false">NETWORKDAYS(F20,G20)</f>
        <v>2</v>
      </c>
      <c r="I20" s="5" t="s">
        <v>60</v>
      </c>
    </row>
    <row r="21" customFormat="false" ht="15" hidden="false" customHeight="false" outlineLevel="0" collapsed="false">
      <c r="A21" s="4" t="s">
        <v>61</v>
      </c>
      <c r="B21" s="5" t="s">
        <v>62</v>
      </c>
      <c r="C21" s="5" t="s">
        <v>59</v>
      </c>
      <c r="D21" s="5" t="s">
        <v>3</v>
      </c>
      <c r="E21" s="5" t="s">
        <v>18</v>
      </c>
      <c r="F21" s="6" t="n">
        <v>46283</v>
      </c>
      <c r="G21" s="6" t="n">
        <v>46286</v>
      </c>
      <c r="H21" s="4" t="n">
        <f aca="false">NETWORKDAYS(F21,G21)</f>
        <v>2</v>
      </c>
      <c r="I21" s="5" t="s">
        <v>57</v>
      </c>
    </row>
    <row r="22" customFormat="false" ht="15" hidden="false" customHeight="false" outlineLevel="0" collapsed="false">
      <c r="A22" s="7" t="s">
        <v>63</v>
      </c>
      <c r="B22" s="8" t="s">
        <v>64</v>
      </c>
      <c r="C22" s="8" t="s">
        <v>13</v>
      </c>
      <c r="D22" s="8" t="s">
        <v>27</v>
      </c>
      <c r="E22" s="8" t="s">
        <v>65</v>
      </c>
      <c r="F22" s="9" t="n">
        <v>46286</v>
      </c>
      <c r="G22" s="9" t="n">
        <v>46286</v>
      </c>
      <c r="H22" s="7" t="n">
        <f aca="false">NETWORKDAYS(F22,G22)</f>
        <v>1</v>
      </c>
      <c r="I22" s="5" t="s">
        <v>61</v>
      </c>
    </row>
    <row r="23" customFormat="false" ht="15" hidden="false" customHeight="false" outlineLevel="0" collapsed="false">
      <c r="A23" s="4" t="s">
        <v>66</v>
      </c>
      <c r="B23" s="5" t="s">
        <v>67</v>
      </c>
      <c r="C23" s="5" t="s">
        <v>59</v>
      </c>
      <c r="D23" s="5" t="s">
        <v>3</v>
      </c>
      <c r="E23" s="5" t="s">
        <v>18</v>
      </c>
      <c r="F23" s="6" t="n">
        <v>46287</v>
      </c>
      <c r="G23" s="6" t="n">
        <v>46287</v>
      </c>
      <c r="H23" s="4" t="n">
        <f aca="false">NETWORKDAYS(F23,G23)</f>
        <v>1</v>
      </c>
      <c r="I23" s="5" t="s">
        <v>63</v>
      </c>
    </row>
    <row r="24" customFormat="false" ht="15" hidden="false" customHeight="false" outlineLevel="0" collapsed="false">
      <c r="A24" s="7" t="s">
        <v>68</v>
      </c>
      <c r="B24" s="8" t="s">
        <v>69</v>
      </c>
      <c r="C24" s="8" t="s">
        <v>13</v>
      </c>
      <c r="D24" s="8" t="s">
        <v>27</v>
      </c>
      <c r="E24" s="8" t="s">
        <v>28</v>
      </c>
      <c r="F24" s="9" t="n">
        <v>46287</v>
      </c>
      <c r="G24" s="9" t="n">
        <v>46287</v>
      </c>
      <c r="H24" s="7" t="n">
        <f aca="false">NETWORKDAYS(F24,G24)</f>
        <v>1</v>
      </c>
      <c r="I24" s="5" t="s">
        <v>66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35" min="9" style="0" width="3.4"/>
  </cols>
  <sheetData>
    <row r="1" customFormat="false" ht="17.35" hidden="false" customHeight="false" outlineLevel="0" collapsed="false">
      <c r="A1" s="10" t="s">
        <v>70</v>
      </c>
      <c r="B1" s="10"/>
      <c r="C1" s="10"/>
      <c r="D1" s="10"/>
      <c r="E1" s="10"/>
      <c r="F1" s="10"/>
      <c r="G1" s="10"/>
      <c r="H1" s="10"/>
    </row>
    <row r="2" customFormat="false" ht="15" hidden="false" customHeight="false" outlineLevel="0" collapsed="false">
      <c r="A2" s="11" t="s">
        <v>71</v>
      </c>
      <c r="B2" s="11"/>
      <c r="C2" s="11"/>
      <c r="D2" s="11"/>
      <c r="E2" s="11"/>
      <c r="F2" s="11"/>
      <c r="G2" s="11"/>
      <c r="H2" s="11"/>
    </row>
    <row r="4" customFormat="false" ht="45.75" hidden="false" customHeight="true" outlineLevel="0" collapsed="false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3" t="n">
        <v>46251</v>
      </c>
      <c r="J4" s="13" t="n">
        <v>46252</v>
      </c>
      <c r="K4" s="13" t="n">
        <v>46253</v>
      </c>
      <c r="L4" s="13" t="n">
        <v>46254</v>
      </c>
      <c r="M4" s="13" t="n">
        <v>46255</v>
      </c>
      <c r="N4" s="13" t="n">
        <v>46258</v>
      </c>
      <c r="O4" s="13" t="n">
        <v>46259</v>
      </c>
      <c r="P4" s="13" t="n">
        <v>46260</v>
      </c>
      <c r="Q4" s="13" t="n">
        <v>46261</v>
      </c>
      <c r="R4" s="13" t="n">
        <v>46262</v>
      </c>
      <c r="S4" s="13" t="n">
        <v>46265</v>
      </c>
      <c r="T4" s="13" t="n">
        <v>46266</v>
      </c>
      <c r="U4" s="13" t="n">
        <v>46267</v>
      </c>
      <c r="V4" s="13" t="n">
        <v>46268</v>
      </c>
      <c r="W4" s="13" t="n">
        <v>46269</v>
      </c>
      <c r="X4" s="13" t="n">
        <v>46272</v>
      </c>
      <c r="Y4" s="13" t="n">
        <v>46273</v>
      </c>
      <c r="Z4" s="13" t="n">
        <v>46274</v>
      </c>
      <c r="AA4" s="13" t="n">
        <v>46275</v>
      </c>
      <c r="AB4" s="13" t="n">
        <v>46276</v>
      </c>
      <c r="AC4" s="13" t="n">
        <v>46279</v>
      </c>
      <c r="AD4" s="13" t="n">
        <v>46280</v>
      </c>
      <c r="AE4" s="13" t="n">
        <v>46281</v>
      </c>
      <c r="AF4" s="13" t="n">
        <v>46282</v>
      </c>
      <c r="AG4" s="13" t="n">
        <v>46283</v>
      </c>
      <c r="AH4" s="13" t="n">
        <v>46286</v>
      </c>
      <c r="AI4" s="13" t="n">
        <v>46287</v>
      </c>
    </row>
    <row r="5" customFormat="false" ht="15" hidden="false" customHeight="false" outlineLevel="0" collapsed="false">
      <c r="A5" s="4" t="str">
        <f aca="false">'Task List'!A5</f>
        <v>P1</v>
      </c>
      <c r="B5" s="5" t="str">
        <f aca="false">'Task List'!B5</f>
        <v>Finalize OEM shortlist &amp; confirm with MISC</v>
      </c>
      <c r="C5" s="5" t="str">
        <f aca="false">'Task List'!C5</f>
        <v>Governance</v>
      </c>
      <c r="D5" s="5" t="str">
        <f aca="false">'Task List'!D5</f>
        <v>Task</v>
      </c>
      <c r="E5" s="5" t="str">
        <f aca="false">'Task List'!E5</f>
        <v>MYSGH2/MISC</v>
      </c>
      <c r="F5" s="6" t="n">
        <f aca="false">'Task List'!F5</f>
        <v>46251</v>
      </c>
      <c r="G5" s="6" t="n">
        <f aca="false">'Task List'!G5</f>
        <v>46252</v>
      </c>
      <c r="H5" s="4" t="n">
        <f aca="false">'Task List'!H5</f>
        <v>2</v>
      </c>
    </row>
    <row r="6" customFormat="false" ht="15" hidden="false" customHeight="false" outlineLevel="0" collapsed="false">
      <c r="A6" s="4" t="str">
        <f aca="false">'Task List'!A6</f>
        <v>P2</v>
      </c>
      <c r="B6" s="5" t="str">
        <f aca="false">'Task List'!B6</f>
        <v>Draft kickoff agenda &amp; study charter</v>
      </c>
      <c r="C6" s="5" t="str">
        <f aca="false">'Task List'!C6</f>
        <v>Governance</v>
      </c>
      <c r="D6" s="5" t="str">
        <f aca="false">'Task List'!D6</f>
        <v>Task</v>
      </c>
      <c r="E6" s="5" t="str">
        <f aca="false">'Task List'!E6</f>
        <v>MYSGH2</v>
      </c>
      <c r="F6" s="6" t="n">
        <f aca="false">'Task List'!F6</f>
        <v>46251</v>
      </c>
      <c r="G6" s="6" t="n">
        <f aca="false">'Task List'!G6</f>
        <v>46253</v>
      </c>
      <c r="H6" s="4" t="n">
        <f aca="false">'Task List'!H6</f>
        <v>3</v>
      </c>
    </row>
    <row r="7" customFormat="false" ht="15" hidden="false" customHeight="false" outlineLevel="0" collapsed="false">
      <c r="A7" s="4" t="str">
        <f aca="false">'Task List'!A7</f>
        <v>P3</v>
      </c>
      <c r="B7" s="5" t="str">
        <f aca="false">'Task List'!B7</f>
        <v>Align data/evidence requirements to hand to MISC</v>
      </c>
      <c r="C7" s="5" t="str">
        <f aca="false">'Task List'!C7</f>
        <v>OEM Engagement (MISC-led)</v>
      </c>
      <c r="D7" s="5" t="str">
        <f aca="false">'Task List'!D7</f>
        <v>Task</v>
      </c>
      <c r="E7" s="5" t="str">
        <f aca="false">'Task List'!E7</f>
        <v>MYSGH2</v>
      </c>
      <c r="F7" s="6" t="n">
        <f aca="false">'Task List'!F7</f>
        <v>46252</v>
      </c>
      <c r="G7" s="6" t="n">
        <f aca="false">'Task List'!G7</f>
        <v>46254</v>
      </c>
      <c r="H7" s="4" t="n">
        <f aca="false">'Task List'!H7</f>
        <v>3</v>
      </c>
    </row>
    <row r="8" customFormat="false" ht="15" hidden="false" customHeight="false" outlineLevel="0" collapsed="false">
      <c r="A8" s="4" t="str">
        <f aca="false">'Task List'!A8</f>
        <v>P4</v>
      </c>
      <c r="B8" s="5" t="str">
        <f aca="false">'Task List'!B8</f>
        <v>Confirm NDA status per OEM (via MISC)</v>
      </c>
      <c r="C8" s="5" t="str">
        <f aca="false">'Task List'!C8</f>
        <v>OEM Engagement (MISC-led)</v>
      </c>
      <c r="D8" s="5" t="str">
        <f aca="false">'Task List'!D8</f>
        <v>Task</v>
      </c>
      <c r="E8" s="5" t="str">
        <f aca="false">'Task List'!E8</f>
        <v>MISC</v>
      </c>
      <c r="F8" s="6" t="n">
        <f aca="false">'Task List'!F8</f>
        <v>46253</v>
      </c>
      <c r="G8" s="6" t="n">
        <f aca="false">'Task List'!G8</f>
        <v>46255</v>
      </c>
      <c r="H8" s="4" t="n">
        <f aca="false">'Task List'!H8</f>
        <v>3</v>
      </c>
    </row>
    <row r="9" customFormat="false" ht="15" hidden="false" customHeight="false" outlineLevel="0" collapsed="false">
      <c r="A9" s="7" t="str">
        <f aca="false">'Task List'!A9</f>
        <v>P5</v>
      </c>
      <c r="B9" s="8" t="str">
        <f aca="false">'Task List'!B9</f>
        <v>Internal YTL / MYSGH2 / MISC alignment call</v>
      </c>
      <c r="C9" s="8" t="str">
        <f aca="false">'Task List'!C9</f>
        <v>Governance</v>
      </c>
      <c r="D9" s="8" t="str">
        <f aca="false">'Task List'!D9</f>
        <v>Milestone</v>
      </c>
      <c r="E9" s="8" t="str">
        <f aca="false">'Task List'!E9</f>
        <v>Both</v>
      </c>
      <c r="F9" s="9" t="n">
        <f aca="false">'Task List'!F9</f>
        <v>46255</v>
      </c>
      <c r="G9" s="9" t="n">
        <f aca="false">'Task List'!G9</f>
        <v>46255</v>
      </c>
      <c r="H9" s="7" t="n">
        <f aca="false">'Task List'!H9</f>
        <v>1</v>
      </c>
    </row>
    <row r="10" customFormat="false" ht="15" hidden="false" customHeight="false" outlineLevel="0" collapsed="false">
      <c r="A10" s="7" t="str">
        <f aca="false">'Task List'!A10</f>
        <v>M1</v>
      </c>
      <c r="B10" s="8" t="str">
        <f aca="false">'Task List'!B10</f>
        <v>KICKOFF MEETING</v>
      </c>
      <c r="C10" s="8" t="str">
        <f aca="false">'Task List'!C10</f>
        <v>Governance</v>
      </c>
      <c r="D10" s="8" t="str">
        <f aca="false">'Task List'!D10</f>
        <v>Milestone</v>
      </c>
      <c r="E10" s="8" t="str">
        <f aca="false">'Task List'!E10</f>
        <v>Both</v>
      </c>
      <c r="F10" s="9" t="n">
        <f aca="false">'Task List'!F10</f>
        <v>46259</v>
      </c>
      <c r="G10" s="9" t="n">
        <f aca="false">'Task List'!G10</f>
        <v>46259</v>
      </c>
      <c r="H10" s="7" t="n">
        <f aca="false">'Task List'!H10</f>
        <v>1</v>
      </c>
    </row>
    <row r="11" customFormat="false" ht="15" hidden="false" customHeight="false" outlineLevel="0" collapsed="false">
      <c r="A11" s="4" t="str">
        <f aca="false">'Task List'!A11</f>
        <v>W1.1</v>
      </c>
      <c r="B11" s="5" t="str">
        <f aca="false">'Task List'!B11</f>
        <v>Agree Technology Risk Assessment framework skeleton</v>
      </c>
      <c r="C11" s="5" t="str">
        <f aca="false">'Task List'!C11</f>
        <v>Technology Risk Assessment</v>
      </c>
      <c r="D11" s="5" t="str">
        <f aca="false">'Task List'!D11</f>
        <v>Task</v>
      </c>
      <c r="E11" s="5" t="str">
        <f aca="false">'Task List'!E11</f>
        <v>MYSGH2</v>
      </c>
      <c r="F11" s="6" t="n">
        <f aca="false">'Task List'!F11</f>
        <v>46260</v>
      </c>
      <c r="G11" s="6" t="n">
        <f aca="false">'Task List'!G11</f>
        <v>46261</v>
      </c>
      <c r="H11" s="4" t="n">
        <f aca="false">'Task List'!H11</f>
        <v>2</v>
      </c>
    </row>
    <row r="12" customFormat="false" ht="15" hidden="false" customHeight="false" outlineLevel="0" collapsed="false">
      <c r="A12" s="4" t="str">
        <f aca="false">'Task List'!A12</f>
        <v>W1.2</v>
      </c>
      <c r="B12" s="5" t="str">
        <f aca="false">'Task List'!B12</f>
        <v>Finalize workstream owners &amp; roles</v>
      </c>
      <c r="C12" s="5" t="str">
        <f aca="false">'Task List'!C12</f>
        <v>Governance</v>
      </c>
      <c r="D12" s="5" t="str">
        <f aca="false">'Task List'!D12</f>
        <v>Task</v>
      </c>
      <c r="E12" s="5" t="str">
        <f aca="false">'Task List'!E12</f>
        <v>Both</v>
      </c>
      <c r="F12" s="6" t="n">
        <f aca="false">'Task List'!F12</f>
        <v>46265</v>
      </c>
      <c r="G12" s="6" t="n">
        <f aca="false">'Task List'!G12</f>
        <v>46265</v>
      </c>
      <c r="H12" s="4" t="n">
        <f aca="false">'Task List'!H12</f>
        <v>1</v>
      </c>
    </row>
    <row r="13" customFormat="false" ht="15" hidden="false" customHeight="false" outlineLevel="0" collapsed="false">
      <c r="A13" s="4" t="str">
        <f aca="false">'Task List'!A13</f>
        <v>OEM1</v>
      </c>
      <c r="B13" s="5" t="str">
        <f aca="false">'Task List'!B13</f>
        <v>OEM ENGAGEMENT &amp; DATA COLLECTION (led by MISC)</v>
      </c>
      <c r="C13" s="5" t="str">
        <f aca="false">'Task List'!C13</f>
        <v>OEM Engagement (MISC-led)</v>
      </c>
      <c r="D13" s="5" t="str">
        <f aca="false">'Task List'!D13</f>
        <v>Task</v>
      </c>
      <c r="E13" s="5" t="str">
        <f aca="false">'Task List'!E13</f>
        <v>MISC</v>
      </c>
      <c r="F13" s="6" t="n">
        <f aca="false">'Task List'!F13</f>
        <v>46265</v>
      </c>
      <c r="G13" s="6" t="n">
        <f aca="false">'Task List'!G13</f>
        <v>46281</v>
      </c>
      <c r="H13" s="4" t="n">
        <f aca="false">'Task List'!H13</f>
        <v>13</v>
      </c>
    </row>
    <row r="14" customFormat="false" ht="15" hidden="false" customHeight="false" outlineLevel="0" collapsed="false">
      <c r="A14" s="4" t="str">
        <f aca="false">'Task List'!A14</f>
        <v>W2.1</v>
      </c>
      <c r="B14" s="5" t="str">
        <f aca="false">'Task List'!B14</f>
        <v>Build Technology Risk Assessment framework v1 (maturity TRL/CRI scale + carbon-emission methodology)</v>
      </c>
      <c r="C14" s="5" t="str">
        <f aca="false">'Task List'!C14</f>
        <v>Technology Risk Assessment</v>
      </c>
      <c r="D14" s="5" t="str">
        <f aca="false">'Task List'!D14</f>
        <v>Task</v>
      </c>
      <c r="E14" s="5" t="str">
        <f aca="false">'Task List'!E14</f>
        <v>MYSGH2</v>
      </c>
      <c r="F14" s="6" t="n">
        <f aca="false">'Task List'!F14</f>
        <v>46266</v>
      </c>
      <c r="G14" s="6" t="n">
        <f aca="false">'Task List'!G14</f>
        <v>46272</v>
      </c>
      <c r="H14" s="4" t="n">
        <f aca="false">'Task List'!H14</f>
        <v>5</v>
      </c>
    </row>
    <row r="15" customFormat="false" ht="15" hidden="false" customHeight="false" outlineLevel="0" collapsed="false">
      <c r="A15" s="7" t="str">
        <f aca="false">'Task List'!A15</f>
        <v>W2.2</v>
      </c>
      <c r="B15" s="8" t="str">
        <f aca="false">'Task List'!B15</f>
        <v>Weekly status check-in (Wk2)</v>
      </c>
      <c r="C15" s="8" t="str">
        <f aca="false">'Task List'!C15</f>
        <v>Governance</v>
      </c>
      <c r="D15" s="8" t="str">
        <f aca="false">'Task List'!D15</f>
        <v>Milestone</v>
      </c>
      <c r="E15" s="8" t="str">
        <f aca="false">'Task List'!E15</f>
        <v>Both</v>
      </c>
      <c r="F15" s="9" t="n">
        <f aca="false">'Task List'!F15</f>
        <v>46269</v>
      </c>
      <c r="G15" s="9" t="n">
        <f aca="false">'Task List'!G15</f>
        <v>46269</v>
      </c>
      <c r="H15" s="7" t="n">
        <f aca="false">'Task List'!H15</f>
        <v>1</v>
      </c>
    </row>
    <row r="16" customFormat="false" ht="15" hidden="false" customHeight="false" outlineLevel="0" collapsed="false">
      <c r="A16" s="4" t="str">
        <f aca="false">'Task List'!A16</f>
        <v>W3.1</v>
      </c>
      <c r="B16" s="5" t="str">
        <f aca="false">'Task List'!B16</f>
        <v>Populate Technology Risk Assessment scorecard (maturity + carbon, per OEM)</v>
      </c>
      <c r="C16" s="5" t="str">
        <f aca="false">'Task List'!C16</f>
        <v>Technology Risk Assessment</v>
      </c>
      <c r="D16" s="5" t="str">
        <f aca="false">'Task List'!D16</f>
        <v>Task</v>
      </c>
      <c r="E16" s="5" t="str">
        <f aca="false">'Task List'!E16</f>
        <v>MYSGH2</v>
      </c>
      <c r="F16" s="6" t="n">
        <f aca="false">'Task List'!F16</f>
        <v>46273</v>
      </c>
      <c r="G16" s="6" t="n">
        <f aca="false">'Task List'!G16</f>
        <v>46276</v>
      </c>
      <c r="H16" s="4" t="n">
        <f aca="false">'Task List'!H16</f>
        <v>4</v>
      </c>
    </row>
    <row r="17" customFormat="false" ht="15" hidden="false" customHeight="false" outlineLevel="0" collapsed="false">
      <c r="A17" s="4" t="str">
        <f aca="false">'Task List'!A17</f>
        <v>W3.2</v>
      </c>
      <c r="B17" s="5" t="str">
        <f aca="false">'Task List'!B17</f>
        <v>Draft performance-contract framework</v>
      </c>
      <c r="C17" s="5" t="str">
        <f aca="false">'Task List'!C17</f>
        <v>Contract</v>
      </c>
      <c r="D17" s="5" t="str">
        <f aca="false">'Task List'!D17</f>
        <v>Task</v>
      </c>
      <c r="E17" s="5" t="str">
        <f aca="false">'Task List'!E17</f>
        <v>MYSGH2/YTL</v>
      </c>
      <c r="F17" s="6" t="n">
        <f aca="false">'Task List'!F17</f>
        <v>46275</v>
      </c>
      <c r="G17" s="6" t="n">
        <f aca="false">'Task List'!G17</f>
        <v>46279</v>
      </c>
      <c r="H17" s="4" t="n">
        <f aca="false">'Task List'!H17</f>
        <v>3</v>
      </c>
    </row>
    <row r="18" customFormat="false" ht="15" hidden="false" customHeight="false" outlineLevel="0" collapsed="false">
      <c r="A18" s="7" t="str">
        <f aca="false">'Task List'!A18</f>
        <v>W3.3</v>
      </c>
      <c r="B18" s="8" t="str">
        <f aca="false">'Task List'!B18</f>
        <v>Weekly status check-in (Wk3)</v>
      </c>
      <c r="C18" s="8" t="str">
        <f aca="false">'Task List'!C18</f>
        <v>Governance</v>
      </c>
      <c r="D18" s="8" t="str">
        <f aca="false">'Task List'!D18</f>
        <v>Milestone</v>
      </c>
      <c r="E18" s="8" t="str">
        <f aca="false">'Task List'!E18</f>
        <v>Both</v>
      </c>
      <c r="F18" s="9" t="n">
        <f aca="false">'Task List'!F18</f>
        <v>46276</v>
      </c>
      <c r="G18" s="9" t="n">
        <f aca="false">'Task List'!G18</f>
        <v>46276</v>
      </c>
      <c r="H18" s="7" t="n">
        <f aca="false">'Task List'!H18</f>
        <v>1</v>
      </c>
    </row>
    <row r="19" customFormat="false" ht="15" hidden="false" customHeight="false" outlineLevel="0" collapsed="false">
      <c r="A19" s="4" t="str">
        <f aca="false">'Task List'!A19</f>
        <v>W4.1</v>
      </c>
      <c r="B19" s="5" t="str">
        <f aca="false">'Task List'!B19</f>
        <v>Build risk &amp; derisking framework (fuel-supply, safety/toxicity, regulatory, counterparty)</v>
      </c>
      <c r="C19" s="5" t="str">
        <f aca="false">'Task List'!C19</f>
        <v>Risk</v>
      </c>
      <c r="D19" s="5" t="str">
        <f aca="false">'Task List'!D19</f>
        <v>Task</v>
      </c>
      <c r="E19" s="5" t="str">
        <f aca="false">'Task List'!E19</f>
        <v>MYSGH2</v>
      </c>
      <c r="F19" s="6" t="n">
        <f aca="false">'Task List'!F19</f>
        <v>46280</v>
      </c>
      <c r="G19" s="6" t="n">
        <f aca="false">'Task List'!G19</f>
        <v>46282</v>
      </c>
      <c r="H19" s="4" t="n">
        <f aca="false">'Task List'!H19</f>
        <v>3</v>
      </c>
    </row>
    <row r="20" customFormat="false" ht="15" hidden="false" customHeight="false" outlineLevel="0" collapsed="false">
      <c r="A20" s="4" t="str">
        <f aca="false">'Task List'!A20</f>
        <v>W4.2</v>
      </c>
      <c r="B20" s="5" t="str">
        <f aca="false">'Task List'!B20</f>
        <v>Consolidate all findings</v>
      </c>
      <c r="C20" s="5" t="str">
        <f aca="false">'Task List'!C20</f>
        <v>Reporting</v>
      </c>
      <c r="D20" s="5" t="str">
        <f aca="false">'Task List'!D20</f>
        <v>Task</v>
      </c>
      <c r="E20" s="5" t="str">
        <f aca="false">'Task List'!E20</f>
        <v>MYSGH2</v>
      </c>
      <c r="F20" s="6" t="n">
        <f aca="false">'Task List'!F20</f>
        <v>46282</v>
      </c>
      <c r="G20" s="6" t="n">
        <f aca="false">'Task List'!G20</f>
        <v>46283</v>
      </c>
      <c r="H20" s="4" t="n">
        <f aca="false">'Task List'!H20</f>
        <v>2</v>
      </c>
    </row>
    <row r="21" customFormat="false" ht="15" hidden="false" customHeight="false" outlineLevel="0" collapsed="false">
      <c r="A21" s="4" t="str">
        <f aca="false">'Task List'!A21</f>
        <v>W4.3</v>
      </c>
      <c r="B21" s="5" t="str">
        <f aca="false">'Task List'!B21</f>
        <v>Draft consolidated report</v>
      </c>
      <c r="C21" s="5" t="str">
        <f aca="false">'Task List'!C21</f>
        <v>Reporting</v>
      </c>
      <c r="D21" s="5" t="str">
        <f aca="false">'Task List'!D21</f>
        <v>Task</v>
      </c>
      <c r="E21" s="5" t="str">
        <f aca="false">'Task List'!E21</f>
        <v>MYSGH2</v>
      </c>
      <c r="F21" s="6" t="n">
        <f aca="false">'Task List'!F21</f>
        <v>46283</v>
      </c>
      <c r="G21" s="6" t="n">
        <f aca="false">'Task List'!G21</f>
        <v>46286</v>
      </c>
      <c r="H21" s="4" t="n">
        <f aca="false">'Task List'!H21</f>
        <v>2</v>
      </c>
    </row>
    <row r="22" customFormat="false" ht="15" hidden="false" customHeight="false" outlineLevel="0" collapsed="false">
      <c r="A22" s="7" t="str">
        <f aca="false">'Task List'!A22</f>
        <v>W4.4</v>
      </c>
      <c r="B22" s="8" t="str">
        <f aca="false">'Task List'!B22</f>
        <v>Internal YTL review of draft report</v>
      </c>
      <c r="C22" s="8" t="str">
        <f aca="false">'Task List'!C22</f>
        <v>Governance</v>
      </c>
      <c r="D22" s="8" t="str">
        <f aca="false">'Task List'!D22</f>
        <v>Milestone</v>
      </c>
      <c r="E22" s="8" t="str">
        <f aca="false">'Task List'!E22</f>
        <v>YTL</v>
      </c>
      <c r="F22" s="9" t="n">
        <f aca="false">'Task List'!F22</f>
        <v>46286</v>
      </c>
      <c r="G22" s="9" t="n">
        <f aca="false">'Task List'!G22</f>
        <v>46286</v>
      </c>
      <c r="H22" s="7" t="n">
        <f aca="false">'Task List'!H22</f>
        <v>1</v>
      </c>
    </row>
    <row r="23" customFormat="false" ht="15" hidden="false" customHeight="false" outlineLevel="0" collapsed="false">
      <c r="A23" s="4" t="str">
        <f aca="false">'Task List'!A23</f>
        <v>F1</v>
      </c>
      <c r="B23" s="5" t="str">
        <f aca="false">'Task List'!B23</f>
        <v>Incorporate YTL review comments</v>
      </c>
      <c r="C23" s="5" t="str">
        <f aca="false">'Task List'!C23</f>
        <v>Reporting</v>
      </c>
      <c r="D23" s="5" t="str">
        <f aca="false">'Task List'!D23</f>
        <v>Task</v>
      </c>
      <c r="E23" s="5" t="str">
        <f aca="false">'Task List'!E23</f>
        <v>MYSGH2</v>
      </c>
      <c r="F23" s="6" t="n">
        <f aca="false">'Task List'!F23</f>
        <v>46287</v>
      </c>
      <c r="G23" s="6" t="n">
        <f aca="false">'Task List'!G23</f>
        <v>46287</v>
      </c>
      <c r="H23" s="4" t="n">
        <f aca="false">'Task List'!H23</f>
        <v>1</v>
      </c>
    </row>
    <row r="24" customFormat="false" ht="15" hidden="false" customHeight="false" outlineLevel="0" collapsed="false">
      <c r="A24" s="7" t="str">
        <f aca="false">'Task List'!A24</f>
        <v>F2</v>
      </c>
      <c r="B24" s="8" t="str">
        <f aca="false">'Task List'!B24</f>
        <v>FINAL REPORT &amp; CLOSE-OUT SESSION</v>
      </c>
      <c r="C24" s="8" t="str">
        <f aca="false">'Task List'!C24</f>
        <v>Governance</v>
      </c>
      <c r="D24" s="8" t="str">
        <f aca="false">'Task List'!D24</f>
        <v>Milestone</v>
      </c>
      <c r="E24" s="8" t="str">
        <f aca="false">'Task List'!E24</f>
        <v>Both</v>
      </c>
      <c r="F24" s="9" t="n">
        <f aca="false">'Task List'!F24</f>
        <v>46287</v>
      </c>
      <c r="G24" s="9" t="n">
        <f aca="false">'Task List'!G24</f>
        <v>46287</v>
      </c>
      <c r="H24" s="7" t="n">
        <f aca="false">'Task List'!H24</f>
        <v>1</v>
      </c>
    </row>
  </sheetData>
  <mergeCells count="2">
    <mergeCell ref="A1:H1"/>
    <mergeCell ref="A2:H2"/>
  </mergeCells>
  <conditionalFormatting sqref="I5:AI24">
    <cfRule type="expression" priority="2" aboveAverage="0" equalAverage="0" bottom="0" percent="0" rank="0" text="" dxfId="0">
      <formula>AND($D5="Milestone",I$4&gt;=$F5,I$4&lt;=$G5)</formula>
    </cfRule>
    <cfRule type="expression" priority="3" aboveAverage="0" equalAverage="0" bottom="0" percent="0" rank="0" text="" dxfId="1">
      <formula>AND($D5="Task",$C5="Governance",I$4&gt;=$F5,I$4&lt;=$G5)</formula>
    </cfRule>
    <cfRule type="expression" priority="4" aboveAverage="0" equalAverage="0" bottom="0" percent="0" rank="0" text="" dxfId="2">
      <formula>AND($D5="Task",$C5="OEM Engagement (MISC-led)",I$4&gt;=$F5,I$4&lt;=$G5)</formula>
    </cfRule>
    <cfRule type="expression" priority="5" aboveAverage="0" equalAverage="0" bottom="0" percent="0" rank="0" text="" dxfId="3">
      <formula>AND($D5="Task",$C5="Technology Risk Assessment",I$4&gt;=$F5,I$4&lt;=$G5)</formula>
    </cfRule>
    <cfRule type="expression" priority="6" aboveAverage="0" equalAverage="0" bottom="0" percent="0" rank="0" text="" dxfId="4">
      <formula>AND($D5="Task",$C5="Contract",I$4&gt;=$F5,I$4&lt;=$G5)</formula>
    </cfRule>
    <cfRule type="expression" priority="7" aboveAverage="0" equalAverage="0" bottom="0" percent="0" rank="0" text="" dxfId="5">
      <formula>AND($D5="Task",$C5="Risk",I$4&gt;=$F5,I$4&lt;=$G5)</formula>
    </cfRule>
    <cfRule type="expression" priority="8" aboveAverage="0" equalAverage="0" bottom="0" percent="0" rank="0" text="" dxfId="6">
      <formula>AND($D5="Task",$C5="Reporting",I$4&gt;=$F5,I$4&lt;=$G5)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4" t="s">
        <v>72</v>
      </c>
    </row>
    <row r="3" customFormat="false" ht="15" hidden="false" customHeight="false" outlineLevel="0" collapsed="false">
      <c r="B3" s="15" t="s">
        <v>73</v>
      </c>
      <c r="C3" s="15" t="s">
        <v>74</v>
      </c>
    </row>
    <row r="4" customFormat="false" ht="42" hidden="false" customHeight="true" outlineLevel="0" collapsed="false">
      <c r="A4" s="16"/>
      <c r="B4" s="17" t="s">
        <v>27</v>
      </c>
      <c r="C4" s="18" t="s">
        <v>75</v>
      </c>
    </row>
    <row r="5" customFormat="false" ht="42" hidden="false" customHeight="true" outlineLevel="0" collapsed="false">
      <c r="A5" s="19"/>
      <c r="B5" s="17" t="s">
        <v>13</v>
      </c>
      <c r="C5" s="18" t="s">
        <v>76</v>
      </c>
    </row>
    <row r="6" customFormat="false" ht="42" hidden="false" customHeight="true" outlineLevel="0" collapsed="false">
      <c r="A6" s="20"/>
      <c r="B6" s="17" t="s">
        <v>21</v>
      </c>
      <c r="C6" s="18" t="s">
        <v>77</v>
      </c>
    </row>
    <row r="7" customFormat="false" ht="42" hidden="false" customHeight="true" outlineLevel="0" collapsed="false">
      <c r="A7" s="21"/>
      <c r="B7" s="17" t="s">
        <v>34</v>
      </c>
      <c r="C7" s="18" t="s">
        <v>78</v>
      </c>
    </row>
    <row r="8" customFormat="false" ht="42" hidden="false" customHeight="true" outlineLevel="0" collapsed="false">
      <c r="A8" s="22"/>
      <c r="B8" s="17" t="s">
        <v>49</v>
      </c>
      <c r="C8" s="18" t="s">
        <v>79</v>
      </c>
    </row>
    <row r="9" customFormat="false" ht="42" hidden="false" customHeight="true" outlineLevel="0" collapsed="false">
      <c r="A9" s="23"/>
      <c r="B9" s="17" t="s">
        <v>55</v>
      </c>
      <c r="C9" s="18" t="s">
        <v>80</v>
      </c>
    </row>
    <row r="10" customFormat="false" ht="42" hidden="false" customHeight="true" outlineLevel="0" collapsed="false">
      <c r="A10" s="24"/>
      <c r="B10" s="17" t="s">
        <v>59</v>
      </c>
      <c r="C10" s="18" t="s">
        <v>81</v>
      </c>
    </row>
    <row r="13" customFormat="false" ht="15" hidden="false" customHeight="false" outlineLevel="0" collapsed="false">
      <c r="A13" s="25" t="s">
        <v>82</v>
      </c>
    </row>
    <row r="14" customFormat="false" ht="25.5" hidden="false" customHeight="true" outlineLevel="0" collapsed="false">
      <c r="A14" s="26" t="s">
        <v>83</v>
      </c>
      <c r="B14" s="26"/>
      <c r="C14" s="26"/>
    </row>
    <row r="15" customFormat="false" ht="25.5" hidden="false" customHeight="true" outlineLevel="0" collapsed="false">
      <c r="A15" s="26" t="s">
        <v>84</v>
      </c>
      <c r="B15" s="26"/>
      <c r="C15" s="26"/>
    </row>
    <row r="16" customFormat="false" ht="25.5" hidden="false" customHeight="true" outlineLevel="0" collapsed="false">
      <c r="A16" s="26" t="s">
        <v>85</v>
      </c>
      <c r="B16" s="26"/>
      <c r="C16" s="26"/>
    </row>
    <row r="17" customFormat="false" ht="25.5" hidden="false" customHeight="true" outlineLevel="0" collapsed="false">
      <c r="A17" s="26" t="s">
        <v>86</v>
      </c>
      <c r="B17" s="26"/>
      <c r="C17" s="26"/>
    </row>
    <row r="18" customFormat="false" ht="25.5" hidden="false" customHeight="true" outlineLevel="0" collapsed="false">
      <c r="A18" s="26" t="s">
        <v>87</v>
      </c>
      <c r="B18" s="26"/>
      <c r="C18" s="26"/>
    </row>
    <row r="19" customFormat="false" ht="25.5" hidden="false" customHeight="true" outlineLevel="0" collapsed="false">
      <c r="A19" s="26" t="s">
        <v>88</v>
      </c>
      <c r="B19" s="26"/>
      <c r="C19" s="26"/>
    </row>
    <row r="20" customFormat="false" ht="25.5" hidden="false" customHeight="true" outlineLevel="0" collapsed="false">
      <c r="A20" s="26" t="s">
        <v>89</v>
      </c>
      <c r="B20" s="26"/>
      <c r="C20" s="26"/>
    </row>
  </sheetData>
  <mergeCells count="7">
    <mergeCell ref="A14:C14"/>
    <mergeCell ref="A15:C15"/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2026-08-14T13:44:33Z</dcterms:created>
  <dc:creator>openpyxl</dc:creator>
  <dc:description/>
  <dc:language>en-US</dc:language>
  <cp:lastModifiedBy/>
  <dcterms:modified xsi:type="dcterms:W3CDTF">2026-08-14T13:44:33Z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